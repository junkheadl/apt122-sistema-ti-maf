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ia de ACTA DE CONSTITUCIÓN" sheetId="1" r:id="rId4"/>
    <sheet state="visible" name="MATRIZ DE INTERESADOS" sheetId="2" r:id="rId5"/>
    <sheet state="visible" name="EDT" sheetId="3" r:id="rId6"/>
    <sheet state="hidden" name="INFORME DE AVANCE" sheetId="4" r:id="rId7"/>
  </sheets>
  <definedNames/>
  <calcPr/>
  <extLst>
    <ext uri="GoogleSheetsCustomDataVersion2">
      <go:sheetsCustomData xmlns:go="http://customooxmlschemas.google.com/" r:id="rId8" roundtripDataChecksum="8BEodBeX9IYszwIhQP/6Ig/304fCEq6vRDO79F9uN+s="/>
    </ext>
  </extLst>
</workbook>
</file>

<file path=xl/sharedStrings.xml><?xml version="1.0" encoding="utf-8"?>
<sst xmlns="http://schemas.openxmlformats.org/spreadsheetml/2006/main" count="338" uniqueCount="241">
  <si>
    <t>CONTROL DE VERSIONES</t>
  </si>
  <si>
    <t>Versión</t>
  </si>
  <si>
    <t>Elaborada por</t>
  </si>
  <si>
    <t>Revisada por</t>
  </si>
  <si>
    <t>Aprobada por</t>
  </si>
  <si>
    <t>Fecha</t>
  </si>
  <si>
    <t>Antonia Rocco, Ariel Correa Y Javier Moraga</t>
  </si>
  <si>
    <t xml:space="preserve">Jefe de práctica MAF Chile </t>
  </si>
  <si>
    <t>Pendiente</t>
  </si>
  <si>
    <t>CÓDIGO</t>
  </si>
  <si>
    <t>NOMBRE DEL PROYECTO</t>
  </si>
  <si>
    <t>SIGLAS DEL PROYECTO</t>
  </si>
  <si>
    <t>MAF-TI-01</t>
  </si>
  <si>
    <t>Sistema de Gestión de Solicitudes de Usuario TI — MAF Chile</t>
  </si>
  <si>
    <t>Lissette Rosas</t>
  </si>
  <si>
    <t>SGSU-TI</t>
  </si>
  <si>
    <t>Lady Rosas</t>
  </si>
  <si>
    <t>Interesado</t>
  </si>
  <si>
    <t>Diana  Balboa</t>
  </si>
  <si>
    <t>ACTA DE CONSTITUCIÓN DEL PROYECTO</t>
  </si>
  <si>
    <t>Compromiso</t>
  </si>
  <si>
    <t>Poder</t>
  </si>
  <si>
    <t>ESTRUCTURA DE DESGLOSE DE TRABAJO  / EDT</t>
  </si>
  <si>
    <t>Interés</t>
  </si>
  <si>
    <t>Estrategia</t>
  </si>
  <si>
    <t>ACCIÓN</t>
  </si>
  <si>
    <t>Desconoce</t>
  </si>
  <si>
    <t>INFORME DE AVANCE</t>
  </si>
  <si>
    <t>Se resiste</t>
  </si>
  <si>
    <t>Neutral</t>
  </si>
  <si>
    <t>Apoya</t>
  </si>
  <si>
    <t>Líder</t>
  </si>
  <si>
    <t>Jefatura de áreas</t>
  </si>
  <si>
    <t>Sistema de Gestión de solicitudes de Usuarios TI - MAF Chile</t>
  </si>
  <si>
    <t>X</t>
  </si>
  <si>
    <t xml:space="preserve"> SGSU-TI</t>
  </si>
  <si>
    <t>ENTREGABLES</t>
  </si>
  <si>
    <t>PAQ. DE TRABAJO</t>
  </si>
  <si>
    <t>ACTIVIDADES</t>
  </si>
  <si>
    <t>DESCRIPCIÓN DEL PROYECTO (Alcance del proyecto) ¿Qué es lo que vas a hacer? ¿Qué es lo que NO vas a hacer? Trata de ser específico, una vez aterrizada la idea general, será sencillo ejecutarla.</t>
  </si>
  <si>
    <t>Responsable (y consideraciones)</t>
  </si>
  <si>
    <t>D</t>
  </si>
  <si>
    <t>Fecha Inicio - Fecha Fin</t>
  </si>
  <si>
    <t>A</t>
  </si>
  <si>
    <t>Que haremos: Un sistema web que digitaliza las 4 fichas manuales de TI de MAF Chile (Ingreso, Modificación, Bloqueo y VPN), con formularios validados, generación automática de correo, roles diferenciados (Jefatura, RRHH, Admin TI, Auditoría, Super Admin), y trazabilidad completa de cada solicitud.</t>
  </si>
  <si>
    <t>1. Documentación y diseño</t>
  </si>
  <si>
    <t>Levantamiento de requerimientos</t>
  </si>
  <si>
    <t>Que no haremos: No ejecutar automáticamente los cambios en Active Directory, correo o VPN. TI lo hace manualmente.                                                     No integrar sistemas internos que no tengan API disponible.
No calcular licenciamiento por sistema.
No incluir pruebas automatizadas en esta primera versión (queda como trabajo futuro).</t>
  </si>
  <si>
    <t>Elaborar informe de alcance</t>
  </si>
  <si>
    <t xml:space="preserve">Antonia Rocco, Ariel Correa y Javier Moraga
</t>
  </si>
  <si>
    <t>Fase 1</t>
  </si>
  <si>
    <t>JUSTIFICACIÓN DEL PROYECTO ¿Por qué lo vamos a hacer?</t>
  </si>
  <si>
    <t>PMI0001</t>
  </si>
  <si>
    <t>Mantener informados sobre avances del módulo de Ingreso/Modificación; validar UX del formulario con ellos.</t>
  </si>
  <si>
    <t>PMO EVOLUTION 2.0</t>
  </si>
  <si>
    <t>Modelado UML</t>
  </si>
  <si>
    <t>Hoy el proceso se gestiona con fichas manuales en papel o Excel, sin registro digital ni trazabilidad , eso genera errores de digitación, tiempos de respuesta lentos, y ningún control real de qué accesos tiene cada persona. En una empresa financiera, que maneja datos sensibles, eso no es un detalle menor...es un riesgo real de auditoría y cumplimiento. Digitalizarlo reduce esos errores, deja registro de quién hizo qué y cuándo, y estandariza un proceso que hoy está disperso en varios formatos distintos.</t>
  </si>
  <si>
    <t>Diseñar diagramas de casos de uso y estados</t>
  </si>
  <si>
    <t>PMO EVOLUTION</t>
  </si>
  <si>
    <t>RRHH</t>
  </si>
  <si>
    <t>Diseñar diagramas de secuencia y componentes</t>
  </si>
  <si>
    <t>OBJETIVOS DEL PROYECTO</t>
  </si>
  <si>
    <t>2. Modelo de datos</t>
  </si>
  <si>
    <t>CONCEPTO</t>
  </si>
  <si>
    <t>B</t>
  </si>
  <si>
    <t>OBJETIVOS</t>
  </si>
  <si>
    <t>Diseño de entidades</t>
  </si>
  <si>
    <t>Definir entidades Usuario, Acceso, Solicitud, Catálogo</t>
  </si>
  <si>
    <t>CRITERIOS DE ÉXITO</t>
  </si>
  <si>
    <t>Antonia Rocco</t>
  </si>
  <si>
    <t>Coordinar validación del flujo de aprobación de Bloqueo antes de implementarlo.</t>
  </si>
  <si>
    <t>General</t>
  </si>
  <si>
    <t>Administrador TI / equipo de soporte</t>
  </si>
  <si>
    <t>Diseñar e implementar un sistema web que digitalice el ciclo de vida de solicitudes de ususario de TI en MAF Chile, reemplazando el proceso manual actual.</t>
  </si>
  <si>
    <t>Definir relaciones y diagrama ER</t>
  </si>
  <si>
    <t xml:space="preserve">Sitema funcional con los 4 modulos operativos y demo aprobada por la comisión. </t>
  </si>
  <si>
    <t>Implementación en PostgreSQL</t>
  </si>
  <si>
    <t>Crear modelo en PostgreSQL (migraciones)</t>
  </si>
  <si>
    <t>Especifico</t>
  </si>
  <si>
    <t xml:space="preserve">Ariel Correa y Javier Moraga
</t>
  </si>
  <si>
    <t>Levantar requerimientos y diseñar el modelo de datos; implementar reglas de negocio (correo automatico, validación RUT, SLA); implementar roles y permisos validados en backend; construir dashboard de indicadores.</t>
  </si>
  <si>
    <t>Cada modulo cumple sus criterios de aceptacion definidos en las historias de usuario.</t>
  </si>
  <si>
    <t>Validar conexión backend-base de datos</t>
  </si>
  <si>
    <t>Reuniones periódicas de seguimiento técnico; validar arquitectura, versiones y despliegue.</t>
  </si>
  <si>
    <t>Auditoría interna</t>
  </si>
  <si>
    <t>LINEA BASE DE COSTOS</t>
  </si>
  <si>
    <t>Documentación del modelo</t>
  </si>
  <si>
    <t>Documentar diccionario de datos</t>
  </si>
  <si>
    <t>LINEA BASE DE TIEMPO</t>
  </si>
  <si>
    <t>3. Configuración del entorno</t>
  </si>
  <si>
    <t>INICIO REAL</t>
  </si>
  <si>
    <t>Instalación de herramientas</t>
  </si>
  <si>
    <t>AVANCE PLANIFICADO</t>
  </si>
  <si>
    <t>Instalar Node.js, .NET SDK, PostgreSQL, VS Code</t>
  </si>
  <si>
    <t>AVANCE REAL</t>
  </si>
  <si>
    <t>Informar sobre el diseño de trazabilidad (historial de estados) una vez implementado.</t>
  </si>
  <si>
    <t>INDICADORES VALOR GANADO</t>
  </si>
  <si>
    <t>Jefe de práctica MAF Chile</t>
  </si>
  <si>
    <t>Fase 1 - 2</t>
  </si>
  <si>
    <r>
      <rPr>
        <rFont val="Calibri"/>
        <b/>
        <color rgb="FFFFFFFF"/>
        <sz val="10.0"/>
      </rPr>
      <t xml:space="preserve">SUPUESTOS DEL PROYECTO (¿Qué es lo que podemos "dar por sentado" que se va a mantener </t>
    </r>
    <r>
      <rPr>
        <rFont val="Calibri"/>
        <b/>
        <i/>
        <color rgb="FFFFFFFF"/>
        <sz val="10.0"/>
      </rPr>
      <t>por lo menos durante el tiempo de ejecución del proyecto</t>
    </r>
    <r>
      <rPr>
        <rFont val="Calibri"/>
        <b/>
        <color rgb="FFFFFFFF"/>
        <sz val="10.0"/>
      </rPr>
      <t>?)</t>
    </r>
  </si>
  <si>
    <t>Configurar estructura de proyecto Angular/.NET</t>
  </si>
  <si>
    <t>COMENTARIOS</t>
  </si>
  <si>
    <t>X D</t>
  </si>
  <si>
    <t>Configuración de repositorio</t>
  </si>
  <si>
    <t>INICIO PLANIFICADO</t>
  </si>
  <si>
    <t>Configurar repositorio y ramas en GitHub</t>
  </si>
  <si>
    <t>FIN PLANIFICADO</t>
  </si>
  <si>
    <t>Reportar avances según cronograma; solicitar confirmaciones pendientes (campos AD, arquitectura).</t>
  </si>
  <si>
    <t>Se asume que la empresa mantendrá disponible el acceso a Active Directory para obtener los campos de la ficha de Ingreso, y que el stack tecnológico (Angular, .NET 10, PostgreSQL) no cambiará durante el desarrollo.</t>
  </si>
  <si>
    <t>VALOR PLANEADO
(VP)</t>
  </si>
  <si>
    <t>Configurar tablero Kanban (GitHub Projects)</t>
  </si>
  <si>
    <t>VALOR GANADO
(EV)</t>
  </si>
  <si>
    <t>4. Módulo Ingreso y Modificación</t>
  </si>
  <si>
    <t>COSTO ACTUAL
(AC)</t>
  </si>
  <si>
    <t>LEYENDA</t>
  </si>
  <si>
    <t>Formulario de Ingreso</t>
  </si>
  <si>
    <t>Implementar formulario de Ingreso</t>
  </si>
  <si>
    <t>SPI</t>
  </si>
  <si>
    <t xml:space="preserve">Antonia Rocco, Ariel Correa y Javier Moraga
</t>
  </si>
  <si>
    <t>Compromiso:</t>
  </si>
  <si>
    <t>CPI</t>
  </si>
  <si>
    <t>Fase 2</t>
  </si>
  <si>
    <t>X: ACTUAL</t>
  </si>
  <si>
    <t>D: DESEADO</t>
  </si>
  <si>
    <t>Implementar validaciones (RUT, fecha de nacimiento)</t>
  </si>
  <si>
    <t>Implementar generación automática de correo</t>
  </si>
  <si>
    <t>PODER/INTERÉS:</t>
  </si>
  <si>
    <t>A: ACTUAL</t>
  </si>
  <si>
    <t>RESTRICCIONES DEL PROYECTO  ¿Qué nos limita (capacidad, tiempo, recursos, dinero)? Triple restricción: Costo, tiempo, alcance.</t>
  </si>
  <si>
    <t>B: BAJO</t>
  </si>
  <si>
    <t>Formulario de Modificación</t>
  </si>
  <si>
    <t>Implementar formulario de Modificación</t>
  </si>
  <si>
    <t>Tiempo: 18 semanas del periodo académico (Asignatura Capstone).</t>
  </si>
  <si>
    <t>Lista de interesados</t>
  </si>
  <si>
    <t>Implementar precarga de datos existentes</t>
  </si>
  <si>
    <t>Backend Ingreso/Modificación</t>
  </si>
  <si>
    <t>Implementar backend de Ingreso/Modificación</t>
  </si>
  <si>
    <t xml:space="preserve">Recursos: desarrollo individual, sin equipo adicional. </t>
  </si>
  <si>
    <t>Se compraron materiales</t>
  </si>
  <si>
    <t>Realizar pruebas funcionales del módulo</t>
  </si>
  <si>
    <t>Ajustar según retroalimentación</t>
  </si>
  <si>
    <t>5. Módulo Bloqueo y VPN</t>
  </si>
  <si>
    <t xml:space="preserve"> Alcance: depende de que la empresa confirme los campos exactos de cada ficha y algunas decisiones de arquitectura.</t>
  </si>
  <si>
    <t>Bloqueo</t>
  </si>
  <si>
    <t>Implementar flujo de bloqueo (Jefatura → RRHH → TI)</t>
  </si>
  <si>
    <t>VPN</t>
  </si>
  <si>
    <t>Implementar flujo de VPN en dos fases</t>
  </si>
  <si>
    <t>Pruebas de flujo</t>
  </si>
  <si>
    <t>Realizar pruebas funcionales de ambos módulos</t>
  </si>
  <si>
    <t>6. Roles, dashboard y reportes</t>
  </si>
  <si>
    <t>Roles y permisos</t>
  </si>
  <si>
    <t>RIESGOS PRELIMINARES: Evento o condición incierta. ¿Qué es lo que sí podría ocurrir? ¿De qué no "nos libramos por completo? (existen riesgos positivos y negativos)</t>
  </si>
  <si>
    <t>Implementar control de roles y permisos en backend</t>
  </si>
  <si>
    <t>Implementar generalización de Super Admin</t>
  </si>
  <si>
    <t>Ariel Correa</t>
  </si>
  <si>
    <t>Riesgo: demora de la empresa en confirmar campos de fichas y arquitectura, lo que podría retrasar módulos específicos. Mitigación: priorizar tareas no bloqueadas (entidades base, reglas ya definidas) mientras se espera respuesta.</t>
  </si>
  <si>
    <t>Dashboard y reportes</t>
  </si>
  <si>
    <t>Implementar dashboard con KPIs</t>
  </si>
  <si>
    <t>Javier Moraga</t>
  </si>
  <si>
    <t>Implementar gráfico Ingresos vs Bajas</t>
  </si>
  <si>
    <t>SPONSOR DEL PROYECTO: Quienes otorgan apoyo y/o recursos para el proyecto. (OJO, NO son los Directores del Proyecto)</t>
  </si>
  <si>
    <t>Implementar exportación a PDF/Excel</t>
  </si>
  <si>
    <t>NOMBRES Y APELLIDOS</t>
  </si>
  <si>
    <t>Integración final</t>
  </si>
  <si>
    <t>ORGANIZACIÓN</t>
  </si>
  <si>
    <t>Integrar todos los módulos en un solo sistema</t>
  </si>
  <si>
    <t>CARGO</t>
  </si>
  <si>
    <t>7. Pruebas y aseguramiento de calidad</t>
  </si>
  <si>
    <t>Rafael Villegas</t>
  </si>
  <si>
    <t>MAF Chile (Mitsui Auto Finance)</t>
  </si>
  <si>
    <t>Jefe de práctica / Administrador TI</t>
  </si>
  <si>
    <t>Pruebas unitarias</t>
  </si>
  <si>
    <t>Ejecutar pruebas unitarias de reglas de negocio</t>
  </si>
  <si>
    <t>Fase 2 - 3</t>
  </si>
  <si>
    <t>Pruebas de integración</t>
  </si>
  <si>
    <t>DP DEL PROYECTO</t>
  </si>
  <si>
    <t>Ejecutar pruebas de integración y permisos</t>
  </si>
  <si>
    <t>Ajustes</t>
  </si>
  <si>
    <t>Corregir errores detectados</t>
  </si>
  <si>
    <t>NIVEL DE AUTORIDAD</t>
  </si>
  <si>
    <t>Fase 3</t>
  </si>
  <si>
    <t>8. Entrega final</t>
  </si>
  <si>
    <t>Preparación de entrega</t>
  </si>
  <si>
    <t>Responsable total del diseño, Scrum Master / Coordinador. Autoridad de decisión sobre la arquitectura y el stack tecnológico, dentro de lo validado con la empresa y el docente.</t>
  </si>
  <si>
    <t>Preparar demo funcional</t>
  </si>
  <si>
    <t>Desarrollador (integrante nuevo) Backend</t>
  </si>
  <si>
    <t>Elaborar documentación final y manual de usuario</t>
  </si>
  <si>
    <t>Presentación</t>
  </si>
  <si>
    <t>Presentar y defender el proyecto ante la comisión</t>
  </si>
  <si>
    <t>Desarrollador  (integrante nuevo) Frontend</t>
  </si>
  <si>
    <t>EQUIPO DE PROYECTO</t>
  </si>
  <si>
    <t>Núm. de teléfono</t>
  </si>
  <si>
    <t>Correo</t>
  </si>
  <si>
    <t>anto.rocco@duocuc.cl</t>
  </si>
  <si>
    <t>Scrum Master / Coordinador — responsable del diseño, desarrollo y despliegue del sistema.</t>
  </si>
  <si>
    <t>ar.correaf</t>
  </si>
  <si>
    <t>Desarrollador Backend — trabaja principalmente en .NET/base de datos</t>
  </si>
  <si>
    <t>jav.moraga</t>
  </si>
  <si>
    <t>Desarrollador Frontend — trabaja principalmente en Angular</t>
  </si>
  <si>
    <t>DURACIÓN ESTIMADA DEL PROYECTO</t>
  </si>
  <si>
    <t>18 semanas (1 semestre académico — Asignatura Capstone, en paralelo con la práctica profesional en MAF Chile).</t>
  </si>
  <si>
    <t>HITOS Y ENTREGABLES</t>
  </si>
  <si>
    <t>HITO (Momentos, eventos importantes que ocurren dentro del proyecto)</t>
  </si>
  <si>
    <t>ENTREGABLE (Son elementos tangibles, algo "que se puede tocar"): Al tenerlos, nos demuestran que se llegaron a cumplir los Hitos.</t>
  </si>
  <si>
    <t>FECHA ESTIMADA</t>
  </si>
  <si>
    <t>Definición del proyecto aprobada</t>
  </si>
  <si>
    <t>Documento 1.5 Definición Proyecto APT</t>
  </si>
  <si>
    <t>Semana 3</t>
  </si>
  <si>
    <t>Diseño completo del sistema</t>
  </si>
  <si>
    <t>Informe de alcance + diagramas UML (casos de uso, estados, secuencia, componentes)</t>
  </si>
  <si>
    <t>Semana 6</t>
  </si>
  <si>
    <t>Arquitectura base configurada</t>
  </si>
  <si>
    <t>Repositorio con estructura de capas y conexión a PostgreSQL validada</t>
  </si>
  <si>
    <t>Semana 7</t>
  </si>
  <si>
    <t>Módulos Ingreso y Modificación funcionando</t>
  </si>
  <si>
    <t>Demo parcial del sistema</t>
  </si>
  <si>
    <t>Semana 10</t>
  </si>
  <si>
    <t>Módulos Bloqueo y VPN funcionando</t>
  </si>
  <si>
    <t>Semana 13</t>
  </si>
  <si>
    <t>Sistema completo (roles + dashboard)</t>
  </si>
  <si>
    <t>Aplicación funcional completa</t>
  </si>
  <si>
    <t>Semana 16</t>
  </si>
  <si>
    <t>Entrega y defensa final</t>
  </si>
  <si>
    <t>Demo final + presentación ante comisión</t>
  </si>
  <si>
    <t>Semana 18</t>
  </si>
  <si>
    <t>PRESUPUESTO (Colocar montos así "nos esté saliendo gratis". ¿Cuánto costaría el proyecto en total, si no se tuviera nada gratuito?</t>
  </si>
  <si>
    <t>MONTO</t>
  </si>
  <si>
    <t>Herramientas de desarrollo (VS Code, .NET SDK, Angular CLI, PostgreSQL)</t>
  </si>
  <si>
    <t>$0 (software libre)</t>
  </si>
  <si>
    <t>Diseño (Figma, Lucidchart)</t>
  </si>
  <si>
    <t>$0 (planes gratuitos)</t>
  </si>
  <si>
    <t>Repositorio y control de versiones (GitHub)</t>
  </si>
  <si>
    <t>$0 (plan gratuito)</t>
  </si>
  <si>
    <t>Horas de desarrollo (referencial)</t>
  </si>
  <si>
    <t>90 horas oficiales según el programa de la asignatura Capstone (Fase 1: 20 horas, Fase 2: 55 horas, Fase 3: 15 horas), más horas adicionales de trabajo autónomo fuera del horario de clases (principalmente los días martes, con tiempo extra dedicado durante períodos de mayor carga como agosto)</t>
  </si>
  <si>
    <t>PRINCIPALES STAKEHOLDERS (Interesados): Cualquier persona u organización que se vea afectada o afecte a la realización o no realización del proyecto.</t>
  </si>
  <si>
    <t>Jefatura de áreas — usuarios solicitantes (Ingreso, Modificación, VPN)</t>
  </si>
  <si>
    <t>RRHH — revisa y aprueba solicitudes de Bloqueo</t>
  </si>
  <si>
    <t>Administrador TI / equipo de soporte — ejecuta las solicitudes en los sistemas</t>
  </si>
  <si>
    <t>Auditoría interna — consulta trazabilidad y cumplimiento</t>
  </si>
  <si>
    <t>Jefe de práctica en MAF Chile — validación técnica y de negocio, evaluador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</si>
</sst>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_-[$S/-280A]* #,##0.00_-;\-[$S/-280A]* #,##0.00_-;_-[$S/-280A]* &quot;-&quot;??_-;_-@"/>
    <numFmt numFmtId="166" formatCode="_-&quot;S/&quot;* #,##0.00_-;\-&quot;S/&quot;* #,##0.00_-;_-&quot;S/&quot;* &quot;-&quot;??_-;_-@"/>
  </numFmts>
  <fonts count="29">
    <font>
      <sz val="11.0"/>
      <color theme="1"/>
      <name val="Arial"/>
      <scheme val="minor"/>
    </font>
    <font>
      <sz val="11.0"/>
      <color theme="1"/>
      <name val="Calibri"/>
    </font>
    <font>
      <b/>
      <sz val="10.0"/>
      <color rgb="FFFFFFFF"/>
      <name val="Calibri"/>
    </font>
    <font/>
    <font>
      <b/>
      <sz val="10.0"/>
      <color rgb="FF000000"/>
      <name val="Calibri"/>
    </font>
    <font>
      <sz val="10.0"/>
      <color theme="1"/>
      <name val="Calibri"/>
    </font>
    <font>
      <b/>
      <sz val="12.0"/>
      <color theme="1"/>
      <name val="Calibri"/>
    </font>
    <font>
      <color rgb="FF000000"/>
      <name val="Calibri"/>
    </font>
    <font>
      <b/>
      <sz val="12.0"/>
      <color rgb="FF000000"/>
      <name val="Calibri"/>
    </font>
    <font>
      <b/>
      <sz val="12.0"/>
      <color rgb="FFFFFFFF"/>
      <name val="Calibri"/>
    </font>
    <font>
      <b/>
      <sz val="18.0"/>
      <color theme="1"/>
      <name val="Calibri"/>
    </font>
    <font>
      <b/>
      <sz val="18.0"/>
      <color theme="1"/>
      <name val="Arial"/>
    </font>
    <font>
      <sz val="12.0"/>
      <color rgb="FF000000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sz val="11.0"/>
      <color rgb="FF000000"/>
      <name val="Calibri"/>
    </font>
    <font>
      <b/>
      <sz val="22.0"/>
      <color theme="1"/>
      <name val="Calibri"/>
    </font>
    <font>
      <b/>
      <sz val="11.0"/>
      <color theme="0"/>
      <name val="Calibri"/>
    </font>
    <font>
      <sz val="10.0"/>
      <color rgb="FF000000"/>
      <name val="Calibri"/>
    </font>
    <font>
      <b/>
      <sz val="10.0"/>
      <color theme="0"/>
      <name val="Calibri"/>
    </font>
    <font>
      <i/>
      <sz val="11.0"/>
      <color rgb="FF000000"/>
      <name val="Calibri"/>
    </font>
    <font>
      <b/>
      <sz val="16.0"/>
      <color rgb="FF000000"/>
      <name val="Calibri"/>
    </font>
    <font>
      <b/>
      <color rgb="FF134F5C"/>
      <name val="Arial"/>
      <scheme val="minor"/>
    </font>
    <font>
      <color theme="1"/>
      <name val="Arial"/>
      <scheme val="minor"/>
    </font>
    <font>
      <sz val="8.0"/>
      <color theme="1"/>
      <name val="Arial"/>
    </font>
    <font>
      <sz val="11.0"/>
      <color theme="1"/>
      <name val="Arial"/>
    </font>
    <font>
      <b/>
      <sz val="11.0"/>
      <color rgb="FFFFFFFF"/>
      <name val="Arial"/>
    </font>
    <font>
      <sz val="11.0"/>
      <color rgb="FF000000"/>
      <name val="Arial"/>
    </font>
    <font>
      <i/>
      <sz val="10.0"/>
      <color rgb="FF000000"/>
      <name val="Calibri"/>
    </font>
  </fonts>
  <fills count="27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  <fill>
      <patternFill patternType="solid">
        <fgColor rgb="FF7030A0"/>
        <bgColor rgb="FF7030A0"/>
      </patternFill>
    </fill>
    <fill>
      <patternFill patternType="solid">
        <fgColor rgb="FFD0E0E3"/>
        <bgColor rgb="FFD0E0E3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EDEDED"/>
        <bgColor rgb="FFEDEDED"/>
      </patternFill>
    </fill>
    <fill>
      <patternFill patternType="solid">
        <fgColor rgb="FFD5A6BD"/>
        <bgColor rgb="FFD5A6BD"/>
      </patternFill>
    </fill>
    <fill>
      <patternFill patternType="solid">
        <fgColor rgb="FFA2C4C9"/>
        <bgColor rgb="FFA2C4C9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CCC0D9"/>
        <bgColor rgb="FFCCC0D9"/>
      </patternFill>
    </fill>
    <fill>
      <patternFill patternType="solid">
        <fgColor rgb="FFC6D9F1"/>
        <bgColor rgb="FFC6D9F1"/>
      </patternFill>
    </fill>
    <fill>
      <patternFill patternType="solid">
        <fgColor theme="5"/>
        <bgColor theme="5"/>
      </patternFill>
    </fill>
    <fill>
      <patternFill patternType="solid">
        <fgColor rgb="FF92D050"/>
        <bgColor rgb="FF92D050"/>
      </patternFill>
    </fill>
    <fill>
      <patternFill patternType="solid">
        <fgColor theme="7"/>
        <bgColor theme="7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</fills>
  <borders count="48">
    <border/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  <bottom/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top style="thin">
        <color rgb="FF7F7F7F"/>
      </top>
      <bottom/>
    </border>
    <border>
      <right style="thin">
        <color rgb="FF7F7F7F"/>
      </right>
      <top style="thin">
        <color rgb="FF7F7F7F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000000"/>
      </bottom>
    </border>
    <border>
      <top style="thin">
        <color rgb="FF7F7F7F"/>
      </top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right style="thin">
        <color rgb="FF7F7F7F"/>
      </right>
      <top style="thin">
        <color rgb="FF7F7F7F"/>
      </top>
      <bottom style="thin">
        <color rgb="FF000000"/>
      </bottom>
    </border>
    <border>
      <left style="thin">
        <color rgb="FF351C75"/>
      </left>
      <top style="thin">
        <color rgb="FF351C75"/>
      </top>
    </border>
    <border>
      <top style="thin">
        <color rgb="FF351C75"/>
      </top>
    </border>
    <border>
      <right style="thin">
        <color rgb="FF351C75"/>
      </right>
      <top style="thin">
        <color rgb="FF351C75"/>
      </top>
    </border>
    <border>
      <left style="thin">
        <color rgb="FF351C75"/>
      </left>
      <bottom style="thin">
        <color rgb="FF351C75"/>
      </bottom>
    </border>
    <border>
      <bottom style="thin">
        <color rgb="FF351C75"/>
      </bottom>
    </border>
    <border>
      <right style="thin">
        <color rgb="FF351C75"/>
      </right>
      <bottom style="thin">
        <color rgb="FF351C75"/>
      </bottom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7F7F7F"/>
      </left>
      <top/>
      <bottom style="thin">
        <color rgb="FF7F7F7F"/>
      </bottom>
    </border>
    <border>
      <top/>
      <bottom style="thin">
        <color rgb="FF7F7F7F"/>
      </bottom>
    </border>
    <border>
      <right style="thin">
        <color rgb="FF7F7F7F"/>
      </right>
      <top/>
      <bottom style="thin">
        <color rgb="FF7F7F7F"/>
      </bottom>
    </border>
    <border>
      <left style="thin">
        <color rgb="FF351C75"/>
      </left>
      <right style="thin">
        <color rgb="FF351C75"/>
      </right>
      <top style="thin">
        <color rgb="FF351C75"/>
      </top>
      <bottom style="thin">
        <color rgb="FF351C75"/>
      </bottom>
    </border>
    <border>
      <left style="thin">
        <color rgb="FF351C75"/>
      </left>
      <top style="thin">
        <color rgb="FF351C75"/>
      </top>
      <bottom style="thin">
        <color rgb="FF351C75"/>
      </bottom>
    </border>
    <border>
      <top style="thin">
        <color rgb="FF351C75"/>
      </top>
      <bottom style="thin">
        <color rgb="FF351C75"/>
      </bottom>
    </border>
    <border>
      <right style="thin">
        <color rgb="FF351C75"/>
      </right>
      <top style="thin">
        <color rgb="FF351C75"/>
      </top>
      <bottom style="thin">
        <color rgb="FF351C75"/>
      </bottom>
    </border>
    <border>
      <left style="thin">
        <color rgb="FF351C75"/>
      </left>
      <right style="thin">
        <color rgb="FF351C75"/>
      </right>
      <top style="thin">
        <color rgb="FF351C75"/>
      </top>
    </border>
    <border>
      <left style="thin">
        <color rgb="FF351C75"/>
      </left>
    </border>
    <border>
      <right style="thin">
        <color rgb="FF351C75"/>
      </right>
    </border>
    <border>
      <left style="thin">
        <color rgb="FF351C75"/>
      </left>
      <right style="thin">
        <color rgb="FF351C75"/>
      </right>
    </border>
    <border>
      <left style="thin">
        <color rgb="FF351C75"/>
      </left>
      <right style="thin">
        <color rgb="FF351C75"/>
      </right>
      <bottom style="thin">
        <color rgb="FF351C75"/>
      </bottom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3" fontId="2" numFmtId="0" xfId="0" applyAlignment="1" applyBorder="1" applyFill="1" applyFont="1">
      <alignment horizontal="center" shrinkToFit="0" vertical="center" wrapText="1"/>
    </xf>
    <xf borderId="4" fillId="0" fontId="3" numFmtId="0" xfId="0" applyBorder="1" applyFont="1"/>
    <xf borderId="5" fillId="4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5" fillId="0" fontId="5" numFmtId="164" xfId="0" applyAlignment="1" applyBorder="1" applyFont="1" applyNumberFormat="1">
      <alignment horizontal="center" readingOrder="0" shrinkToFit="0" vertical="center" wrapText="1"/>
    </xf>
    <xf borderId="0" fillId="0" fontId="6" numFmtId="0" xfId="0" applyFont="1"/>
    <xf borderId="5" fillId="2" fontId="2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5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readingOrder="0"/>
    </xf>
    <xf borderId="9" fillId="0" fontId="7" numFmtId="0" xfId="0" applyAlignment="1" applyBorder="1" applyFont="1">
      <alignment horizontal="center" readingOrder="0"/>
    </xf>
    <xf borderId="10" fillId="6" fontId="8" numFmtId="0" xfId="0" applyAlignment="1" applyBorder="1" applyFill="1" applyFont="1">
      <alignment horizontal="center" shrinkToFit="0" vertical="center" wrapText="1"/>
    </xf>
    <xf borderId="11" fillId="0" fontId="3" numFmtId="0" xfId="0" applyBorder="1" applyFont="1"/>
    <xf borderId="5" fillId="0" fontId="5" numFmtId="164" xfId="0" applyAlignment="1" applyBorder="1" applyFont="1" applyNumberFormat="1">
      <alignment horizontal="center" shrinkToFit="0" vertical="center" wrapText="1"/>
    </xf>
    <xf borderId="11" fillId="0" fontId="7" numFmtId="0" xfId="0" applyAlignment="1" applyBorder="1" applyFont="1">
      <alignment horizontal="center" readingOrder="0"/>
    </xf>
    <xf borderId="1" fillId="7" fontId="9" numFmtId="0" xfId="0" applyAlignment="1" applyBorder="1" applyFill="1" applyFont="1">
      <alignment horizontal="center" shrinkToFit="0" vertical="center" wrapText="1"/>
    </xf>
    <xf borderId="11" fillId="0" fontId="7" numFmtId="164" xfId="0" applyAlignment="1" applyBorder="1" applyFont="1" applyNumberFormat="1">
      <alignment horizontal="center" readingOrder="0"/>
    </xf>
    <xf borderId="12" fillId="0" fontId="10" numFmtId="0" xfId="0" applyAlignment="1" applyBorder="1" applyFont="1">
      <alignment horizontal="center" vertical="center"/>
    </xf>
    <xf borderId="13" fillId="0" fontId="3" numFmtId="0" xfId="0" applyBorder="1" applyFont="1"/>
    <xf borderId="0" fillId="0" fontId="1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14" fillId="0" fontId="3" numFmtId="0" xfId="0" applyBorder="1" applyFont="1"/>
    <xf borderId="10" fillId="0" fontId="8" numFmtId="0" xfId="0" applyAlignment="1" applyBorder="1" applyFont="1">
      <alignment horizontal="center" shrinkToFit="0" textRotation="90" vertical="center" wrapText="1"/>
    </xf>
    <xf borderId="15" fillId="0" fontId="3" numFmtId="0" xfId="0" applyBorder="1" applyFont="1"/>
    <xf borderId="16" fillId="0" fontId="3" numFmtId="0" xfId="0" applyBorder="1" applyFont="1"/>
    <xf borderId="5" fillId="7" fontId="2" numFmtId="0" xfId="0" applyAlignment="1" applyBorder="1" applyFill="1" applyFont="1">
      <alignment horizontal="center" shrinkToFit="0" vertical="center" wrapText="1"/>
    </xf>
    <xf borderId="17" fillId="0" fontId="3" numFmtId="0" xfId="0" applyBorder="1" applyFont="1"/>
    <xf borderId="1" fillId="7" fontId="2" numFmtId="0" xfId="0" applyAlignment="1" applyBorder="1" applyFill="1" applyFont="1">
      <alignment horizontal="center" shrinkToFit="0" vertical="center" wrapText="1"/>
    </xf>
    <xf borderId="18" fillId="8" fontId="2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5" fillId="9" fontId="12" numFmtId="0" xfId="0" applyAlignment="1" applyBorder="1" applyFill="1" applyFont="1">
      <alignment horizontal="center" shrinkToFit="0" textRotation="90" vertical="center" wrapText="1"/>
    </xf>
    <xf borderId="20" fillId="8" fontId="2" numFmtId="0" xfId="0" applyAlignment="1" applyBorder="1" applyFill="1" applyFont="1">
      <alignment horizontal="center" shrinkToFit="0" vertical="center" wrapText="1"/>
    </xf>
    <xf borderId="5" fillId="0" fontId="7" numFmtId="0" xfId="0" applyAlignment="1" applyBorder="1" applyFont="1">
      <alignment horizontal="center" readingOrder="0"/>
    </xf>
    <xf borderId="0" fillId="0" fontId="10" numFmtId="0" xfId="0" applyAlignment="1" applyFont="1">
      <alignment horizontal="center" vertical="center"/>
    </xf>
    <xf borderId="21" fillId="0" fontId="3" numFmtId="0" xfId="0" applyBorder="1" applyFont="1"/>
    <xf borderId="22" fillId="0" fontId="3" numFmtId="0" xfId="0" applyBorder="1" applyFont="1"/>
    <xf borderId="1" fillId="0" fontId="7" numFmtId="0" xfId="0" applyAlignment="1" applyBorder="1" applyFont="1">
      <alignment horizontal="center" readingOrder="0"/>
    </xf>
    <xf borderId="5" fillId="10" fontId="12" numFmtId="0" xfId="0" applyAlignment="1" applyBorder="1" applyFill="1" applyFont="1">
      <alignment horizontal="center" readingOrder="0" shrinkToFit="0" vertical="center" wrapText="1"/>
    </xf>
    <xf borderId="23" fillId="11" fontId="13" numFmtId="0" xfId="0" applyAlignment="1" applyBorder="1" applyFill="1" applyFont="1">
      <alignment horizontal="center" shrinkToFit="0" vertical="center" wrapText="1"/>
    </xf>
    <xf borderId="5" fillId="0" fontId="12" numFmtId="0" xfId="0" applyAlignment="1" applyBorder="1" applyFont="1">
      <alignment horizontal="center" shrinkToFit="0" vertical="center" wrapText="1"/>
    </xf>
    <xf borderId="24" fillId="10" fontId="14" numFmtId="0" xfId="0" applyAlignment="1" applyBorder="1" applyFill="1" applyFont="1">
      <alignment shrinkToFit="0" vertical="center" wrapText="1"/>
    </xf>
    <xf borderId="25" fillId="0" fontId="3" numFmtId="0" xfId="0" applyBorder="1" applyFont="1"/>
    <xf borderId="5" fillId="0" fontId="12" numFmtId="0" xfId="0" applyAlignment="1" applyBorder="1" applyFont="1">
      <alignment horizontal="center" readingOrder="0" shrinkToFit="0" vertical="center" wrapText="1"/>
    </xf>
    <xf borderId="26" fillId="0" fontId="3" numFmtId="0" xfId="0" applyBorder="1" applyFont="1"/>
    <xf borderId="12" fillId="0" fontId="15" numFmtId="0" xfId="0" applyAlignment="1" applyBorder="1" applyFont="1">
      <alignment readingOrder="0" shrinkToFit="0" vertical="center" wrapText="1"/>
    </xf>
    <xf borderId="27" fillId="11" fontId="16" numFmtId="0" xfId="0" applyAlignment="1" applyBorder="1" applyFill="1" applyFont="1">
      <alignment horizontal="center" readingOrder="0" textRotation="90" vertical="center"/>
    </xf>
    <xf borderId="28" fillId="0" fontId="3" numFmtId="0" xfId="0" applyBorder="1" applyFont="1"/>
    <xf borderId="29" fillId="0" fontId="3" numFmtId="0" xfId="0" applyBorder="1" applyFont="1"/>
    <xf borderId="27" fillId="3" fontId="17" numFmtId="0" xfId="0" applyAlignment="1" applyBorder="1" applyFill="1" applyFont="1">
      <alignment horizontal="center" readingOrder="0" shrinkToFit="0" vertical="center" wrapText="1"/>
    </xf>
    <xf borderId="23" fillId="0" fontId="15" numFmtId="0" xfId="0" applyAlignment="1" applyBorder="1" applyFont="1">
      <alignment readingOrder="0" vertical="top"/>
    </xf>
    <xf borderId="24" fillId="0" fontId="15" numFmtId="0" xfId="0" applyAlignment="1" applyBorder="1" applyFont="1">
      <alignment readingOrder="0" shrinkToFit="0" vertical="center" wrapText="1"/>
    </xf>
    <xf borderId="27" fillId="0" fontId="15" numFmtId="0" xfId="0" applyAlignment="1" applyBorder="1" applyFont="1">
      <alignment readingOrder="0" shrinkToFit="0" vertical="top" wrapText="1"/>
    </xf>
    <xf borderId="5" fillId="0" fontId="1" numFmtId="0" xfId="0" applyAlignment="1" applyBorder="1" applyFont="1">
      <alignment horizontal="left" shrinkToFit="0" vertical="center" wrapText="1"/>
    </xf>
    <xf borderId="27" fillId="0" fontId="15" numFmtId="0" xfId="0" applyAlignment="1" applyBorder="1" applyFont="1">
      <alignment readingOrder="0" vertical="top"/>
    </xf>
    <xf borderId="30" fillId="0" fontId="3" numFmtId="0" xfId="0" applyBorder="1" applyFont="1"/>
    <xf borderId="5" fillId="12" fontId="12" numFmtId="0" xfId="0" applyAlignment="1" applyBorder="1" applyFill="1" applyFont="1">
      <alignment readingOrder="0" shrinkToFit="0" vertical="center" wrapText="1"/>
    </xf>
    <xf borderId="24" fillId="0" fontId="15" numFmtId="0" xfId="0" applyAlignment="1" applyBorder="1" applyFont="1">
      <alignment horizontal="left" readingOrder="0" shrinkToFit="0" vertical="center" wrapText="1"/>
    </xf>
    <xf borderId="31" fillId="0" fontId="3" numFmtId="0" xfId="0" applyBorder="1" applyFont="1"/>
    <xf borderId="0" fillId="0" fontId="5" numFmtId="0" xfId="0" applyAlignment="1" applyFont="1">
      <alignment horizontal="center" shrinkToFit="0" vertical="center" wrapText="1"/>
    </xf>
    <xf borderId="1" fillId="13" fontId="14" numFmtId="0" xfId="0" applyAlignment="1" applyBorder="1" applyFill="1" applyFont="1">
      <alignment shrinkToFit="0" vertical="center" wrapText="1"/>
    </xf>
    <xf borderId="32" fillId="14" fontId="4" numFmtId="0" xfId="0" applyAlignment="1" applyBorder="1" applyFill="1" applyFont="1">
      <alignment horizontal="center" shrinkToFit="0" vertical="center" wrapText="1"/>
    </xf>
    <xf borderId="27" fillId="3" fontId="14" numFmtId="0" xfId="0" applyAlignment="1" applyBorder="1" applyFill="1" applyFont="1">
      <alignment horizontal="center" readingOrder="0" shrinkToFit="0" vertical="center" wrapText="1"/>
    </xf>
    <xf borderId="3" fillId="14" fontId="4" numFmtId="0" xfId="0" applyAlignment="1" applyBorder="1" applyFill="1" applyFont="1">
      <alignment horizontal="center" shrinkToFit="0" vertical="center" wrapText="1"/>
    </xf>
    <xf borderId="33" fillId="15" fontId="18" numFmtId="0" xfId="0" applyAlignment="1" applyBorder="1" applyFill="1" applyFont="1">
      <alignment horizontal="center" readingOrder="0" shrinkToFit="0" vertical="center" wrapText="1"/>
    </xf>
    <xf borderId="34" fillId="0" fontId="18" numFmtId="0" xfId="0" applyAlignment="1" applyBorder="1" applyFont="1">
      <alignment horizontal="left" readingOrder="0" shrinkToFit="0" vertical="center" wrapText="1"/>
    </xf>
    <xf borderId="35" fillId="0" fontId="3" numFmtId="0" xfId="0" applyBorder="1" applyFont="1"/>
    <xf borderId="36" fillId="0" fontId="3" numFmtId="0" xfId="0" applyBorder="1" applyFont="1"/>
    <xf borderId="34" fillId="0" fontId="15" numFmtId="0" xfId="0" applyAlignment="1" applyBorder="1" applyFont="1">
      <alignment horizontal="left" readingOrder="0" shrinkToFit="0" vertical="center" wrapText="1"/>
    </xf>
    <xf borderId="23" fillId="0" fontId="15" numFmtId="0" xfId="0" applyAlignment="1" applyBorder="1" applyFont="1">
      <alignment readingOrder="0" shrinkToFit="0" vertical="top" wrapText="1"/>
    </xf>
    <xf borderId="5" fillId="12" fontId="12" numFmtId="0" xfId="0" applyAlignment="1" applyBorder="1" applyFill="1" applyFont="1">
      <alignment horizontal="center" readingOrder="0" shrinkToFit="0" vertical="center" wrapText="1"/>
    </xf>
    <xf borderId="37" fillId="15" fontId="18" numFmtId="0" xfId="0" applyAlignment="1" applyBorder="1" applyFill="1" applyFont="1">
      <alignment horizontal="center" shrinkToFit="0" vertical="center" wrapText="1"/>
    </xf>
    <xf borderId="38" fillId="0" fontId="15" numFmtId="0" xfId="0" applyAlignment="1" applyBorder="1" applyFont="1">
      <alignment horizontal="left" shrinkToFit="0" vertical="center" wrapText="1"/>
    </xf>
    <xf borderId="39" fillId="0" fontId="3" numFmtId="0" xfId="0" applyBorder="1" applyFont="1"/>
    <xf borderId="37" fillId="5" fontId="19" numFmtId="0" xfId="0" applyAlignment="1" applyBorder="1" applyFill="1" applyFont="1">
      <alignment horizontal="center" shrinkToFit="0" vertical="center" wrapText="1"/>
    </xf>
    <xf borderId="40" fillId="0" fontId="3" numFmtId="0" xfId="0" applyBorder="1" applyFont="1"/>
    <xf borderId="34" fillId="5" fontId="19" numFmtId="0" xfId="0" applyAlignment="1" applyBorder="1" applyFill="1" applyFont="1">
      <alignment horizontal="center" shrinkToFit="0" vertical="center" wrapText="1"/>
    </xf>
    <xf borderId="38" fillId="0" fontId="20" numFmtId="0" xfId="0" applyAlignment="1" applyBorder="1" applyFont="1">
      <alignment horizontal="left" shrinkToFit="0" vertical="center" wrapText="1"/>
    </xf>
    <xf borderId="41" fillId="0" fontId="3" numFmtId="0" xfId="0" applyBorder="1" applyFont="1"/>
    <xf borderId="42" fillId="0" fontId="3" numFmtId="0" xfId="0" applyBorder="1" applyFont="1"/>
    <xf borderId="43" fillId="0" fontId="3" numFmtId="0" xfId="0" applyBorder="1" applyFont="1"/>
    <xf borderId="44" fillId="0" fontId="3" numFmtId="0" xfId="0" applyBorder="1" applyFont="1"/>
    <xf borderId="20" fillId="8" fontId="2" numFmtId="0" xfId="0" applyAlignment="1" applyBorder="1" applyFill="1" applyFont="1">
      <alignment shrinkToFit="0" vertical="center" wrapText="1"/>
    </xf>
    <xf borderId="33" fillId="5" fontId="19" numFmtId="0" xfId="0" applyAlignment="1" applyBorder="1" applyFill="1" applyFont="1">
      <alignment horizontal="center" shrinkToFit="0" vertical="center" wrapText="1"/>
    </xf>
    <xf borderId="33" fillId="16" fontId="19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33" fillId="17" fontId="19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33" fillId="18" fontId="19" numFmtId="0" xfId="0" applyAlignment="1" applyBorder="1" applyFill="1" applyFont="1">
      <alignment horizontal="center" shrinkToFit="0" vertical="center" wrapText="1"/>
    </xf>
    <xf borderId="45" fillId="6" fontId="21" numFmtId="0" xfId="0" applyAlignment="1" applyBorder="1" applyFill="1" applyFont="1">
      <alignment horizontal="center" shrinkToFit="0" vertical="center" wrapText="1"/>
    </xf>
    <xf borderId="0" fillId="0" fontId="22" numFmtId="0" xfId="0" applyAlignment="1" applyFont="1">
      <alignment readingOrder="0"/>
    </xf>
    <xf borderId="0" fillId="0" fontId="22" numFmtId="0" xfId="0" applyFont="1"/>
    <xf borderId="33" fillId="0" fontId="5" numFmtId="3" xfId="0" applyAlignment="1" applyBorder="1" applyFont="1" applyNumberFormat="1">
      <alignment horizontal="center" shrinkToFit="0" vertical="center" wrapText="1"/>
    </xf>
    <xf borderId="33" fillId="0" fontId="5" numFmtId="164" xfId="0" applyAlignment="1" applyBorder="1" applyFont="1" applyNumberFormat="1">
      <alignment horizontal="center" shrinkToFit="0" vertical="center" wrapText="1"/>
    </xf>
    <xf borderId="46" fillId="0" fontId="3" numFmtId="0" xfId="0" applyBorder="1" applyFont="1"/>
    <xf borderId="33" fillId="0" fontId="5" numFmtId="9" xfId="0" applyAlignment="1" applyBorder="1" applyFont="1" applyNumberFormat="1">
      <alignment horizontal="center" shrinkToFit="0" vertical="center" wrapText="1"/>
    </xf>
    <xf borderId="33" fillId="0" fontId="5" numFmtId="1" xfId="0" applyAlignment="1" applyBorder="1" applyFont="1" applyNumberFormat="1">
      <alignment horizontal="center" shrinkToFit="0" vertical="center" wrapText="1"/>
    </xf>
    <xf borderId="47" fillId="0" fontId="3" numFmtId="0" xfId="0" applyBorder="1" applyFont="1"/>
    <xf borderId="24" fillId="19" fontId="2" numFmtId="0" xfId="0" applyAlignment="1" applyBorder="1" applyFill="1" applyFont="1">
      <alignment shrinkToFit="0" vertical="center" wrapText="1"/>
    </xf>
    <xf borderId="23" fillId="20" fontId="6" numFmtId="0" xfId="0" applyBorder="1" applyFill="1" applyFont="1"/>
    <xf borderId="33" fillId="21" fontId="5" numFmtId="2" xfId="0" applyAlignment="1" applyBorder="1" applyFill="1" applyFont="1" applyNumberFormat="1">
      <alignment horizontal="center" shrinkToFit="0" vertical="center" wrapText="1"/>
    </xf>
    <xf borderId="24" fillId="0" fontId="15" numFmtId="0" xfId="0" applyAlignment="1" applyBorder="1" applyFont="1">
      <alignment horizontal="left" readingOrder="0" shrinkToFit="0" vertical="top" wrapText="1"/>
    </xf>
    <xf borderId="33" fillId="22" fontId="5" numFmtId="2" xfId="0" applyAlignment="1" applyBorder="1" applyFill="1" applyFont="1" applyNumberFormat="1">
      <alignment horizontal="center" shrinkToFit="0" vertical="center" wrapText="1"/>
    </xf>
    <xf borderId="23" fillId="20" fontId="23" numFmtId="0" xfId="0" applyBorder="1" applyFill="1" applyFont="1"/>
    <xf borderId="33" fillId="0" fontId="5" numFmtId="0" xfId="0" applyAlignment="1" applyBorder="1" applyFont="1">
      <alignment shrinkToFit="0" vertical="center" wrapText="1"/>
    </xf>
    <xf borderId="24" fillId="0" fontId="15" numFmtId="0" xfId="0" applyAlignment="1" applyBorder="1" applyFont="1">
      <alignment horizontal="left" readingOrder="0" vertical="top"/>
    </xf>
    <xf borderId="23" fillId="0" fontId="15" numFmtId="0" xfId="0" applyAlignment="1" applyBorder="1" applyFont="1">
      <alignment horizontal="left" readingOrder="0" vertical="top"/>
    </xf>
    <xf borderId="23" fillId="0" fontId="24" numFmtId="0" xfId="0" applyAlignment="1" applyBorder="1" applyFont="1">
      <alignment vertical="top"/>
    </xf>
    <xf borderId="23" fillId="0" fontId="25" numFmtId="0" xfId="0" applyAlignment="1" applyBorder="1" applyFont="1">
      <alignment vertical="top"/>
    </xf>
    <xf borderId="0" fillId="0" fontId="1" numFmtId="0" xfId="0" applyAlignment="1" applyFont="1">
      <alignment readingOrder="0" shrinkToFit="0" vertical="center" wrapText="1"/>
    </xf>
    <xf borderId="24" fillId="23" fontId="2" numFmtId="0" xfId="0" applyAlignment="1" applyBorder="1" applyFill="1" applyFont="1">
      <alignment shrinkToFit="0" vertical="center" wrapText="1"/>
    </xf>
    <xf borderId="23" fillId="0" fontId="15" numFmtId="0" xfId="0" applyAlignment="1" applyBorder="1" applyFont="1">
      <alignment readingOrder="0" vertical="top"/>
    </xf>
    <xf borderId="24" fillId="24" fontId="15" numFmtId="0" xfId="0" applyAlignment="1" applyBorder="1" applyFill="1" applyFont="1">
      <alignment horizontal="left" readingOrder="0" shrinkToFit="0" vertical="top" wrapText="1"/>
    </xf>
    <xf borderId="0" fillId="0" fontId="13" numFmtId="0" xfId="0" applyFont="1"/>
    <xf borderId="0" fillId="0" fontId="15" numFmtId="0" xfId="0" applyAlignment="1" applyFont="1">
      <alignment horizontal="left"/>
    </xf>
    <xf borderId="24" fillId="25" fontId="2" numFmtId="0" xfId="0" applyAlignment="1" applyBorder="1" applyFill="1" applyFont="1">
      <alignment shrinkToFit="0" vertical="center" wrapText="1"/>
    </xf>
    <xf borderId="24" fillId="14" fontId="18" numFmtId="0" xfId="0" applyAlignment="1" applyBorder="1" applyFill="1" applyFont="1">
      <alignment horizontal="center" shrinkToFit="0" vertical="center" wrapText="1"/>
    </xf>
    <xf borderId="23" fillId="14" fontId="18" numFmtId="0" xfId="0" applyAlignment="1" applyBorder="1" applyFill="1" applyFont="1">
      <alignment horizontal="center" shrinkToFit="0" vertical="center" wrapText="1"/>
    </xf>
    <xf borderId="24" fillId="0" fontId="18" numFmtId="0" xfId="0" applyAlignment="1" applyBorder="1" applyFont="1">
      <alignment horizontal="center" readingOrder="0" shrinkToFit="0" vertical="center" wrapText="1"/>
    </xf>
    <xf borderId="27" fillId="3" fontId="26" numFmtId="0" xfId="0" applyAlignment="1" applyBorder="1" applyFill="1" applyFont="1">
      <alignment horizontal="center" readingOrder="0" shrinkToFit="0" vertical="center" wrapText="1"/>
    </xf>
    <xf borderId="23" fillId="0" fontId="18" numFmtId="0" xfId="0" applyAlignment="1" applyBorder="1" applyFont="1">
      <alignment horizontal="center" readingOrder="0" shrinkToFit="0" vertical="center" wrapText="1"/>
    </xf>
    <xf borderId="24" fillId="0" fontId="18" numFmtId="0" xfId="0" applyAlignment="1" applyBorder="1" applyFont="1">
      <alignment horizontal="center" shrinkToFit="0" vertical="center" wrapText="1"/>
    </xf>
    <xf borderId="23" fillId="0" fontId="18" numFmtId="0" xfId="0" applyAlignment="1" applyBorder="1" applyFont="1">
      <alignment horizontal="center" shrinkToFit="0" vertical="center" wrapText="1"/>
    </xf>
    <xf borderId="23" fillId="0" fontId="27" numFmtId="0" xfId="0" applyAlignment="1" applyBorder="1" applyFont="1">
      <alignment readingOrder="0" shrinkToFit="0" vertical="top" wrapText="0"/>
    </xf>
    <xf borderId="24" fillId="10" fontId="2" numFmtId="0" xfId="0" applyAlignment="1" applyBorder="1" applyFill="1" applyFont="1">
      <alignment shrinkToFit="0" vertical="center" wrapText="1"/>
    </xf>
    <xf borderId="12" fillId="0" fontId="18" numFmtId="0" xfId="0" applyAlignment="1" applyBorder="1" applyFont="1">
      <alignment horizontal="center" readingOrder="0" shrinkToFit="0" vertical="center" wrapText="1"/>
    </xf>
    <xf borderId="27" fillId="0" fontId="15" numFmtId="0" xfId="0" applyAlignment="1" applyBorder="1" applyFont="1">
      <alignment horizontal="center" readingOrder="0" vertical="top"/>
    </xf>
    <xf borderId="23" fillId="0" fontId="27" numFmtId="0" xfId="0" applyAlignment="1" applyBorder="1" applyFont="1">
      <alignment readingOrder="0" vertical="top"/>
    </xf>
    <xf borderId="23" fillId="14" fontId="4" numFmtId="0" xfId="0" applyAlignment="1" applyBorder="1" applyFill="1" applyFont="1">
      <alignment horizontal="center" shrinkToFit="0" vertical="center" wrapText="1"/>
    </xf>
    <xf borderId="24" fillId="14" fontId="4" numFmtId="0" xfId="0" applyAlignment="1" applyBorder="1" applyFill="1" applyFont="1">
      <alignment horizontal="center" shrinkToFit="0" vertical="center" wrapText="1"/>
    </xf>
    <xf borderId="23" fillId="0" fontId="18" numFmtId="0" xfId="0" applyAlignment="1" applyBorder="1" applyFont="1">
      <alignment readingOrder="0" shrinkToFit="0" vertical="center" wrapText="1"/>
    </xf>
    <xf borderId="24" fillId="0" fontId="18" numFmtId="0" xfId="0" applyAlignment="1" applyBorder="1" applyFont="1">
      <alignment readingOrder="0" shrinkToFit="0" vertical="center" wrapText="1"/>
    </xf>
    <xf borderId="23" fillId="0" fontId="18" numFmtId="0" xfId="0" applyAlignment="1" applyBorder="1" applyFont="1">
      <alignment shrinkToFit="0" vertical="center" wrapText="1"/>
    </xf>
    <xf borderId="24" fillId="0" fontId="18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24" fillId="0" fontId="28" numFmtId="0" xfId="0" applyAlignment="1" applyBorder="1" applyFont="1">
      <alignment readingOrder="0" shrinkToFit="0" vertical="center" wrapText="1"/>
    </xf>
    <xf borderId="24" fillId="0" fontId="5" numFmtId="0" xfId="0" applyAlignment="1" applyBorder="1" applyFont="1">
      <alignment shrinkToFit="0" vertical="center" wrapText="1"/>
    </xf>
    <xf borderId="23" fillId="0" fontId="18" numFmtId="164" xfId="0" applyAlignment="1" applyBorder="1" applyFont="1" applyNumberFormat="1">
      <alignment horizontal="center" shrinkToFit="0" vertical="center" wrapText="1"/>
    </xf>
    <xf borderId="24" fillId="0" fontId="15" numFmtId="0" xfId="0" applyAlignment="1" applyBorder="1" applyFont="1">
      <alignment readingOrder="0"/>
    </xf>
    <xf borderId="24" fillId="0" fontId="18" numFmtId="165" xfId="0" applyAlignment="1" applyBorder="1" applyFont="1" applyNumberFormat="1">
      <alignment horizontal="center" readingOrder="0" shrinkToFit="0" vertical="center" wrapText="1"/>
    </xf>
    <xf borderId="24" fillId="4" fontId="18" numFmtId="0" xfId="0" applyAlignment="1" applyBorder="1" applyFill="1" applyFont="1">
      <alignment readingOrder="0" shrinkToFit="0" vertical="center" wrapText="1"/>
    </xf>
    <xf borderId="24" fillId="4" fontId="18" numFmtId="166" xfId="0" applyAlignment="1" applyBorder="1" applyFill="1" applyFont="1" applyNumberFormat="1">
      <alignment horizontal="center" readingOrder="0" shrinkToFit="0" vertical="center" wrapText="1"/>
    </xf>
    <xf borderId="24" fillId="0" fontId="18" numFmtId="165" xfId="0" applyAlignment="1" applyBorder="1" applyFont="1" applyNumberFormat="1">
      <alignment horizontal="center" shrinkToFit="0" vertical="center" wrapText="1"/>
    </xf>
    <xf borderId="24" fillId="4" fontId="18" numFmtId="0" xfId="0" applyAlignment="1" applyBorder="1" applyFill="1" applyFont="1">
      <alignment shrinkToFit="0" vertical="center" wrapText="1"/>
    </xf>
    <xf borderId="24" fillId="4" fontId="18" numFmtId="165" xfId="0" applyAlignment="1" applyBorder="1" applyFill="1" applyFont="1" applyNumberFormat="1">
      <alignment horizontal="center" shrinkToFit="0" vertical="center" wrapText="1"/>
    </xf>
    <xf borderId="24" fillId="0" fontId="15" numFmtId="0" xfId="0" applyAlignment="1" applyBorder="1" applyFont="1">
      <alignment horizontal="center" readingOrder="0"/>
    </xf>
    <xf borderId="24" fillId="26" fontId="1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75</xdr:row>
      <xdr:rowOff>123825</xdr:rowOff>
    </xdr:from>
    <xdr:ext cx="11382375" cy="117157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944225" cy="5810250"/>
    <xdr:sp>
      <xdr:nvSpPr>
        <xdr:cNvPr id="3" name="Shape 3"/>
        <xdr:cNvSpPr/>
      </xdr:nvSpPr>
      <xdr:spPr>
        <a:xfrm>
          <a:off x="0" y="879638"/>
          <a:ext cx="10692000" cy="5800725"/>
        </a:xfrm>
        <a:prstGeom prst="rect">
          <a:avLst/>
        </a:prstGeom>
        <a:noFill/>
        <a:ln cap="flat" cmpd="sng" w="12700">
          <a:solidFill>
            <a:srgbClr val="BFBFBF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295275</xdr:colOff>
      <xdr:row>0</xdr:row>
      <xdr:rowOff>0</xdr:rowOff>
    </xdr:from>
    <xdr:ext cx="1647825" cy="5524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8515350" cy="7524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114300</xdr:rowOff>
    </xdr:from>
    <xdr:ext cx="10868025" cy="10001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447675</xdr:colOff>
      <xdr:row>0</xdr:row>
      <xdr:rowOff>114300</xdr:rowOff>
    </xdr:from>
    <xdr:ext cx="876300" cy="866775"/>
    <xdr:pic>
      <xdr:nvPicPr>
        <xdr:cNvPr descr="Burbujas Página De Inicio - Imagen gratis en Pixabay"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6.0"/>
    <col customWidth="1" min="3" max="3" width="11.63"/>
    <col customWidth="1" min="4" max="4" width="11.0"/>
    <col customWidth="1" min="5" max="5" width="9.38"/>
    <col customWidth="1" min="6" max="6" width="20.5"/>
    <col customWidth="1" min="7" max="7" width="57.88"/>
    <col customWidth="1" min="8" max="8" width="2.13"/>
    <col customWidth="1" min="9" max="9" width="9.38"/>
    <col customWidth="1" min="10" max="10" width="0.38"/>
    <col customWidth="1" min="11" max="11" width="9.88"/>
    <col customWidth="1" min="12" max="12" width="11.25"/>
    <col customWidth="1" min="13" max="20" width="9.38"/>
  </cols>
  <sheetData>
    <row r="3">
      <c r="C3" s="2" t="s">
        <v>0</v>
      </c>
      <c r="D3" s="3"/>
      <c r="E3" s="3"/>
      <c r="F3" s="3"/>
      <c r="G3" s="3"/>
      <c r="H3" s="3"/>
      <c r="I3" s="3"/>
      <c r="J3" s="3"/>
      <c r="K3" s="3"/>
      <c r="L3" s="5"/>
    </row>
    <row r="4">
      <c r="C4" s="6" t="s">
        <v>1</v>
      </c>
      <c r="D4" s="7" t="s">
        <v>2</v>
      </c>
      <c r="E4" s="3"/>
      <c r="F4" s="3"/>
      <c r="G4" s="5"/>
      <c r="H4" s="7" t="s">
        <v>3</v>
      </c>
      <c r="I4" s="3"/>
      <c r="J4" s="5"/>
      <c r="K4" s="6" t="s">
        <v>4</v>
      </c>
      <c r="L4" s="6" t="s">
        <v>5</v>
      </c>
    </row>
    <row r="5">
      <c r="C5" s="9">
        <v>1.0</v>
      </c>
      <c r="D5" s="10" t="s">
        <v>6</v>
      </c>
      <c r="E5" s="3"/>
      <c r="F5" s="3"/>
      <c r="G5" s="5"/>
      <c r="H5" s="10" t="s">
        <v>7</v>
      </c>
      <c r="I5" s="3"/>
      <c r="J5" s="5"/>
      <c r="K5" s="9" t="s">
        <v>8</v>
      </c>
      <c r="L5" s="11">
        <v>46269.0</v>
      </c>
    </row>
    <row r="6">
      <c r="L6" s="12"/>
    </row>
    <row r="7" ht="15.75" customHeight="1">
      <c r="C7" s="13" t="s">
        <v>9</v>
      </c>
      <c r="D7" s="2" t="s">
        <v>10</v>
      </c>
      <c r="E7" s="3"/>
      <c r="F7" s="3"/>
      <c r="G7" s="3"/>
      <c r="H7" s="3"/>
      <c r="I7" s="3"/>
      <c r="J7" s="5"/>
      <c r="K7" s="2" t="s">
        <v>11</v>
      </c>
      <c r="L7" s="5"/>
    </row>
    <row r="8">
      <c r="C8" s="9" t="s">
        <v>12</v>
      </c>
      <c r="D8" s="10" t="s">
        <v>13</v>
      </c>
      <c r="E8" s="3"/>
      <c r="F8" s="3"/>
      <c r="G8" s="3"/>
      <c r="H8" s="3"/>
      <c r="I8" s="3"/>
      <c r="J8" s="5"/>
      <c r="K8" s="10" t="s">
        <v>15</v>
      </c>
      <c r="L8" s="5"/>
    </row>
    <row r="11">
      <c r="C11" s="26" t="s">
        <v>19</v>
      </c>
      <c r="D11" s="27"/>
      <c r="E11" s="27"/>
      <c r="F11" s="27"/>
      <c r="G11" s="27"/>
      <c r="H11" s="30"/>
    </row>
    <row r="12">
      <c r="C12" s="32"/>
      <c r="D12" s="33"/>
      <c r="E12" s="33"/>
      <c r="F12" s="33"/>
      <c r="G12" s="33"/>
      <c r="H12" s="35"/>
    </row>
    <row r="14" ht="26.25" customHeight="1">
      <c r="C14" s="37" t="s">
        <v>9</v>
      </c>
      <c r="D14" s="40" t="s">
        <v>10</v>
      </c>
      <c r="E14" s="43"/>
      <c r="F14" s="44"/>
      <c r="G14" s="40" t="s">
        <v>11</v>
      </c>
      <c r="H14" s="44"/>
    </row>
    <row r="15" ht="30.0" customHeight="1">
      <c r="C15" s="9" t="s">
        <v>12</v>
      </c>
      <c r="D15" s="10" t="s">
        <v>33</v>
      </c>
      <c r="E15" s="3"/>
      <c r="F15" s="5"/>
      <c r="G15" s="10" t="s">
        <v>35</v>
      </c>
      <c r="H15" s="5"/>
    </row>
    <row r="17" ht="30.0" customHeight="1">
      <c r="C17" s="49" t="s">
        <v>39</v>
      </c>
      <c r="D17" s="50"/>
      <c r="E17" s="50"/>
      <c r="F17" s="50"/>
      <c r="G17" s="50"/>
      <c r="H17" s="52"/>
    </row>
    <row r="18" ht="15.0" customHeight="1">
      <c r="C18" s="53" t="s">
        <v>44</v>
      </c>
      <c r="D18" s="27"/>
      <c r="E18" s="27"/>
      <c r="F18" s="27"/>
      <c r="G18" s="27"/>
      <c r="H18" s="30"/>
    </row>
    <row r="19" ht="15.0" customHeight="1">
      <c r="C19" s="55"/>
      <c r="H19" s="56"/>
    </row>
    <row r="20" ht="15.75" customHeight="1">
      <c r="C20" s="32"/>
      <c r="D20" s="33"/>
      <c r="E20" s="33"/>
      <c r="F20" s="33"/>
      <c r="G20" s="33"/>
      <c r="H20" s="35"/>
    </row>
    <row r="21" ht="57.75" customHeight="1">
      <c r="C21" s="59" t="s">
        <v>47</v>
      </c>
      <c r="D21" s="50"/>
      <c r="E21" s="50"/>
      <c r="F21" s="50"/>
      <c r="G21" s="50"/>
      <c r="H21" s="52"/>
    </row>
    <row r="22" ht="15.0" customHeight="1">
      <c r="C22" s="49" t="s">
        <v>51</v>
      </c>
      <c r="D22" s="50"/>
      <c r="E22" s="50"/>
      <c r="F22" s="50"/>
      <c r="G22" s="50"/>
      <c r="H22" s="52"/>
    </row>
    <row r="23" ht="67.5" customHeight="1">
      <c r="C23" s="65" t="s">
        <v>56</v>
      </c>
      <c r="D23" s="50"/>
      <c r="E23" s="50"/>
      <c r="F23" s="50"/>
      <c r="G23" s="50"/>
      <c r="H23" s="52"/>
    </row>
    <row r="24" ht="15.75" customHeight="1"/>
    <row r="25" ht="15.75" customHeight="1">
      <c r="C25" s="68" t="s">
        <v>61</v>
      </c>
      <c r="D25" s="3"/>
      <c r="E25" s="3"/>
      <c r="F25" s="3"/>
      <c r="G25" s="3"/>
      <c r="H25" s="5"/>
    </row>
    <row r="26" ht="98.25" customHeight="1">
      <c r="C26" s="69" t="s">
        <v>63</v>
      </c>
      <c r="D26" s="71" t="s">
        <v>65</v>
      </c>
      <c r="E26" s="14"/>
      <c r="F26" s="15"/>
      <c r="G26" s="71" t="s">
        <v>68</v>
      </c>
      <c r="H26" s="15"/>
    </row>
    <row r="27" ht="55.5" customHeight="1">
      <c r="C27" s="72" t="s">
        <v>71</v>
      </c>
      <c r="D27" s="73" t="s">
        <v>73</v>
      </c>
      <c r="E27" s="74"/>
      <c r="F27" s="75"/>
      <c r="G27" s="76" t="s">
        <v>75</v>
      </c>
      <c r="H27" s="75"/>
    </row>
    <row r="28" ht="15.0" customHeight="1">
      <c r="C28" s="72" t="s">
        <v>78</v>
      </c>
      <c r="D28" s="73" t="s">
        <v>80</v>
      </c>
      <c r="E28" s="74"/>
      <c r="F28" s="75"/>
      <c r="G28" s="73" t="s">
        <v>81</v>
      </c>
      <c r="H28" s="75"/>
    </row>
    <row r="29" ht="30.0" customHeight="1">
      <c r="C29" s="79"/>
      <c r="D29" s="80"/>
      <c r="E29" s="81"/>
      <c r="F29" s="83"/>
      <c r="G29" s="85"/>
      <c r="H29" s="83"/>
    </row>
    <row r="30" ht="15.75" customHeight="1">
      <c r="C30" s="86"/>
      <c r="D30" s="87"/>
      <c r="E30" s="88"/>
      <c r="F30" s="89"/>
      <c r="G30" s="87"/>
      <c r="H30" s="89"/>
    </row>
    <row r="31" ht="30.75" customHeight="1"/>
    <row r="32" ht="15.75" customHeight="1">
      <c r="A32" s="1"/>
      <c r="B32" s="1"/>
      <c r="C32" s="90" t="s">
        <v>99</v>
      </c>
      <c r="D32" s="43"/>
      <c r="E32" s="43"/>
      <c r="F32" s="43"/>
      <c r="G32" s="43"/>
      <c r="H32" s="4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ht="30.0" customHeight="1">
      <c r="A33" s="1"/>
      <c r="B33" s="1"/>
      <c r="C33" s="95" t="s">
        <v>108</v>
      </c>
      <c r="D33" s="3"/>
      <c r="E33" s="3"/>
      <c r="F33" s="3"/>
      <c r="G33" s="3"/>
      <c r="H33" s="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ht="15.75" customHeight="1">
      <c r="C35" s="106" t="s">
        <v>128</v>
      </c>
      <c r="D35" s="50"/>
      <c r="E35" s="50"/>
      <c r="F35" s="50"/>
      <c r="G35" s="50"/>
      <c r="H35" s="52"/>
    </row>
    <row r="36" ht="31.5" customHeight="1">
      <c r="C36" s="109" t="s">
        <v>132</v>
      </c>
      <c r="D36" s="50"/>
      <c r="E36" s="50"/>
      <c r="F36" s="50"/>
      <c r="G36" s="50"/>
      <c r="H36" s="52"/>
    </row>
    <row r="37" ht="15.75" customHeight="1">
      <c r="A37" s="1"/>
      <c r="B37" s="1"/>
      <c r="C37" s="113" t="s">
        <v>137</v>
      </c>
      <c r="D37" s="50"/>
      <c r="E37" s="50"/>
      <c r="F37" s="50"/>
      <c r="G37" s="50"/>
      <c r="H37" s="5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ht="15.75" customHeight="1">
      <c r="A38" s="1"/>
      <c r="B38" s="1"/>
      <c r="C38" s="114" t="s">
        <v>142</v>
      </c>
      <c r="D38" s="115"/>
      <c r="E38" s="116"/>
      <c r="F38" s="116"/>
      <c r="G38" s="116"/>
      <c r="H38" s="11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ht="15.75" customHeight="1">
      <c r="A39" s="1"/>
      <c r="B39" s="1"/>
      <c r="C39" s="1"/>
      <c r="D39" s="117"/>
      <c r="E39" s="117"/>
      <c r="F39" s="117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ht="15.75" customHeight="1">
      <c r="A40" s="1"/>
      <c r="B40" s="1"/>
      <c r="C40" s="118" t="s">
        <v>151</v>
      </c>
      <c r="D40" s="50"/>
      <c r="E40" s="50"/>
      <c r="F40" s="50"/>
      <c r="G40" s="50"/>
      <c r="H40" s="5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ht="34.5" customHeight="1">
      <c r="C41" s="120" t="s">
        <v>155</v>
      </c>
      <c r="D41" s="50"/>
      <c r="E41" s="50"/>
      <c r="F41" s="50"/>
      <c r="G41" s="50"/>
      <c r="H41" s="52"/>
    </row>
    <row r="42" ht="26.25" customHeight="1">
      <c r="C42" s="121"/>
      <c r="D42" s="117"/>
      <c r="E42" s="117"/>
      <c r="F42" s="117"/>
      <c r="G42" s="122"/>
      <c r="H42" s="122"/>
      <c r="I42" s="122"/>
    </row>
    <row r="43" ht="22.5" customHeight="1">
      <c r="C43" s="123" t="s">
        <v>160</v>
      </c>
      <c r="D43" s="50"/>
      <c r="E43" s="50"/>
      <c r="F43" s="50"/>
      <c r="G43" s="50"/>
      <c r="H43" s="52"/>
    </row>
    <row r="44" ht="24.75" customHeight="1">
      <c r="C44" s="124" t="s">
        <v>162</v>
      </c>
      <c r="D44" s="52"/>
      <c r="E44" s="124" t="s">
        <v>164</v>
      </c>
      <c r="F44" s="50"/>
      <c r="G44" s="52"/>
      <c r="H44" s="125" t="s">
        <v>166</v>
      </c>
    </row>
    <row r="45" ht="17.25" customHeight="1">
      <c r="C45" s="126" t="s">
        <v>168</v>
      </c>
      <c r="D45" s="52"/>
      <c r="E45" s="126" t="s">
        <v>169</v>
      </c>
      <c r="F45" s="50"/>
      <c r="G45" s="52"/>
      <c r="H45" s="128" t="s">
        <v>170</v>
      </c>
    </row>
    <row r="46" ht="15.75" customHeight="1">
      <c r="C46" s="129"/>
      <c r="D46" s="52"/>
      <c r="E46" s="129"/>
      <c r="F46" s="50"/>
      <c r="G46" s="52"/>
      <c r="H46" s="130"/>
    </row>
    <row r="47" ht="15.75" customHeight="1">
      <c r="C47" s="132" t="s">
        <v>175</v>
      </c>
      <c r="D47" s="50"/>
      <c r="E47" s="50"/>
      <c r="F47" s="50"/>
      <c r="G47" s="50"/>
      <c r="H47" s="52"/>
    </row>
    <row r="48" ht="26.25" customHeight="1">
      <c r="C48" s="124" t="s">
        <v>162</v>
      </c>
      <c r="D48" s="52"/>
      <c r="E48" s="124" t="s">
        <v>179</v>
      </c>
      <c r="F48" s="50"/>
      <c r="G48" s="50"/>
      <c r="H48" s="52"/>
    </row>
    <row r="49" ht="15.75" customHeight="1">
      <c r="C49" s="133" t="s">
        <v>69</v>
      </c>
      <c r="D49" s="30"/>
      <c r="E49" s="133" t="s">
        <v>183</v>
      </c>
      <c r="F49" s="27"/>
      <c r="G49" s="27"/>
      <c r="H49" s="30"/>
    </row>
    <row r="50" ht="15.75" customHeight="1">
      <c r="C50" s="32"/>
      <c r="D50" s="35"/>
      <c r="E50" s="32"/>
      <c r="F50" s="33"/>
      <c r="G50" s="33"/>
      <c r="H50" s="35"/>
    </row>
    <row r="51" ht="15.75" customHeight="1">
      <c r="C51" s="133" t="s">
        <v>154</v>
      </c>
      <c r="D51" s="30"/>
      <c r="E51" s="133" t="s">
        <v>185</v>
      </c>
      <c r="F51" s="27"/>
      <c r="G51" s="27"/>
      <c r="H51" s="30"/>
    </row>
    <row r="52" ht="15.75" customHeight="1">
      <c r="C52" s="32"/>
      <c r="D52" s="35"/>
      <c r="E52" s="32"/>
      <c r="F52" s="33"/>
      <c r="G52" s="33"/>
      <c r="H52" s="35"/>
    </row>
    <row r="53" ht="13.5" customHeight="1">
      <c r="C53" s="133" t="s">
        <v>158</v>
      </c>
      <c r="D53" s="30"/>
      <c r="E53" s="133" t="s">
        <v>189</v>
      </c>
      <c r="F53" s="27"/>
      <c r="G53" s="27"/>
      <c r="H53" s="30"/>
    </row>
    <row r="54" ht="15.75" customHeight="1">
      <c r="C54" s="32"/>
      <c r="D54" s="35"/>
      <c r="E54" s="32"/>
      <c r="F54" s="33"/>
      <c r="G54" s="33"/>
      <c r="H54" s="35"/>
    </row>
    <row r="55" ht="25.5" customHeight="1">
      <c r="C55" s="123" t="s">
        <v>190</v>
      </c>
      <c r="D55" s="50"/>
      <c r="E55" s="50"/>
      <c r="F55" s="50"/>
      <c r="G55" s="50"/>
      <c r="H55" s="52"/>
    </row>
    <row r="56" ht="15.75" customHeight="1">
      <c r="C56" s="136" t="s">
        <v>162</v>
      </c>
      <c r="D56" s="136" t="s">
        <v>191</v>
      </c>
      <c r="E56" s="136" t="s">
        <v>192</v>
      </c>
      <c r="F56" s="137" t="s">
        <v>166</v>
      </c>
      <c r="G56" s="50"/>
      <c r="H56" s="52"/>
    </row>
    <row r="57" ht="15.75" customHeight="1">
      <c r="C57" s="138" t="s">
        <v>69</v>
      </c>
      <c r="D57" s="138">
        <v>5.6923786173E10</v>
      </c>
      <c r="E57" s="138" t="s">
        <v>193</v>
      </c>
      <c r="F57" s="139" t="s">
        <v>194</v>
      </c>
      <c r="G57" s="50"/>
      <c r="H57" s="52"/>
    </row>
    <row r="58" ht="15.75" customHeight="1">
      <c r="C58" s="138" t="s">
        <v>154</v>
      </c>
      <c r="D58" s="138">
        <v>5.6937765143E10</v>
      </c>
      <c r="E58" s="138" t="s">
        <v>195</v>
      </c>
      <c r="F58" s="139" t="s">
        <v>196</v>
      </c>
      <c r="G58" s="50"/>
      <c r="H58" s="52"/>
    </row>
    <row r="59" ht="15.75" customHeight="1">
      <c r="C59" s="138" t="s">
        <v>158</v>
      </c>
      <c r="D59" s="138">
        <v>5.6927765764E10</v>
      </c>
      <c r="E59" s="138" t="s">
        <v>197</v>
      </c>
      <c r="F59" s="139" t="s">
        <v>198</v>
      </c>
      <c r="G59" s="50"/>
      <c r="H59" s="52"/>
    </row>
    <row r="60" ht="15.75" customHeight="1">
      <c r="C60" s="140"/>
      <c r="D60" s="140"/>
      <c r="E60" s="140"/>
      <c r="F60" s="141"/>
      <c r="G60" s="50"/>
      <c r="H60" s="52"/>
    </row>
    <row r="61" ht="15.75" customHeight="1">
      <c r="C61" s="140"/>
      <c r="D61" s="140"/>
      <c r="E61" s="140"/>
      <c r="F61" s="141"/>
      <c r="G61" s="50"/>
      <c r="H61" s="52"/>
    </row>
    <row r="62" ht="15.75" customHeight="1">
      <c r="C62" s="132" t="s">
        <v>199</v>
      </c>
      <c r="D62" s="50"/>
      <c r="E62" s="50"/>
      <c r="F62" s="50"/>
      <c r="G62" s="50"/>
      <c r="H62" s="52"/>
    </row>
    <row r="63" ht="33.0" customHeight="1">
      <c r="C63" s="139" t="s">
        <v>200</v>
      </c>
      <c r="D63" s="50"/>
      <c r="E63" s="50"/>
      <c r="F63" s="50"/>
      <c r="G63" s="50"/>
      <c r="H63" s="52"/>
    </row>
    <row r="64" ht="33.0" customHeight="1">
      <c r="A64" s="142"/>
      <c r="B64" s="142"/>
      <c r="C64" s="123" t="s">
        <v>201</v>
      </c>
      <c r="D64" s="50"/>
      <c r="E64" s="50"/>
      <c r="F64" s="50"/>
      <c r="G64" s="50"/>
      <c r="H64" s="52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2"/>
    </row>
    <row r="65" ht="38.25" customHeight="1">
      <c r="A65" s="142"/>
      <c r="B65" s="142"/>
      <c r="C65" s="137" t="s">
        <v>202</v>
      </c>
      <c r="D65" s="52"/>
      <c r="E65" s="137" t="s">
        <v>203</v>
      </c>
      <c r="F65" s="50"/>
      <c r="G65" s="52"/>
      <c r="H65" s="136" t="s">
        <v>204</v>
      </c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</row>
    <row r="66" ht="29.25" customHeight="1">
      <c r="A66" s="142"/>
      <c r="B66" s="142"/>
      <c r="C66" s="139" t="s">
        <v>205</v>
      </c>
      <c r="D66" s="52"/>
      <c r="E66" s="139" t="s">
        <v>206</v>
      </c>
      <c r="F66" s="50"/>
      <c r="G66" s="52"/>
      <c r="H66" s="128" t="s">
        <v>207</v>
      </c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</row>
    <row r="67" ht="15.75" customHeight="1">
      <c r="A67" s="142"/>
      <c r="B67" s="142"/>
      <c r="C67" s="139" t="s">
        <v>208</v>
      </c>
      <c r="D67" s="52"/>
      <c r="E67" s="139" t="s">
        <v>209</v>
      </c>
      <c r="F67" s="50"/>
      <c r="G67" s="52"/>
      <c r="H67" s="128" t="s">
        <v>210</v>
      </c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</row>
    <row r="68" ht="24.0" customHeight="1">
      <c r="A68" s="142"/>
      <c r="B68" s="142"/>
      <c r="C68" s="139" t="s">
        <v>211</v>
      </c>
      <c r="D68" s="52"/>
      <c r="E68" s="139" t="s">
        <v>212</v>
      </c>
      <c r="F68" s="50"/>
      <c r="G68" s="52"/>
      <c r="H68" s="128" t="s">
        <v>213</v>
      </c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</row>
    <row r="69" ht="15.75" customHeight="1">
      <c r="A69" s="142"/>
      <c r="B69" s="142"/>
      <c r="C69" s="139" t="s">
        <v>214</v>
      </c>
      <c r="D69" s="52"/>
      <c r="E69" s="139" t="s">
        <v>215</v>
      </c>
      <c r="F69" s="50"/>
      <c r="G69" s="52"/>
      <c r="H69" s="128" t="s">
        <v>216</v>
      </c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2"/>
    </row>
    <row r="70" ht="15.75" customHeight="1">
      <c r="A70" s="142"/>
      <c r="B70" s="142"/>
      <c r="C70" s="143" t="s">
        <v>217</v>
      </c>
      <c r="D70" s="52"/>
      <c r="E70" s="139" t="s">
        <v>215</v>
      </c>
      <c r="F70" s="50"/>
      <c r="G70" s="52"/>
      <c r="H70" s="128" t="s">
        <v>218</v>
      </c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</row>
    <row r="71" ht="25.5" customHeight="1">
      <c r="A71" s="142"/>
      <c r="B71" s="142"/>
      <c r="C71" s="143" t="s">
        <v>219</v>
      </c>
      <c r="D71" s="52"/>
      <c r="E71" s="139" t="s">
        <v>220</v>
      </c>
      <c r="F71" s="50"/>
      <c r="G71" s="52"/>
      <c r="H71" s="128" t="s">
        <v>221</v>
      </c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</row>
    <row r="72" ht="15.75" customHeight="1">
      <c r="C72" s="143" t="s">
        <v>222</v>
      </c>
      <c r="D72" s="52"/>
      <c r="E72" s="139" t="s">
        <v>223</v>
      </c>
      <c r="F72" s="50"/>
      <c r="G72" s="52"/>
      <c r="H72" s="128" t="s">
        <v>224</v>
      </c>
    </row>
    <row r="73" ht="15.75" customHeight="1">
      <c r="C73" s="141"/>
      <c r="D73" s="52"/>
      <c r="E73" s="144"/>
      <c r="F73" s="50"/>
      <c r="G73" s="52"/>
      <c r="H73" s="145"/>
    </row>
    <row r="74" ht="15.75" customHeight="1">
      <c r="C74" s="132" t="s">
        <v>225</v>
      </c>
      <c r="D74" s="50"/>
      <c r="E74" s="50"/>
      <c r="F74" s="50"/>
      <c r="G74" s="50"/>
      <c r="H74" s="52"/>
    </row>
    <row r="75" ht="15.75" customHeight="1">
      <c r="A75" s="1"/>
      <c r="B75" s="1"/>
      <c r="C75" s="124" t="s">
        <v>63</v>
      </c>
      <c r="D75" s="50"/>
      <c r="E75" s="52"/>
      <c r="F75" s="124" t="s">
        <v>226</v>
      </c>
      <c r="G75" s="50"/>
      <c r="H75" s="5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ht="15.75" customHeight="1">
      <c r="C76" s="146" t="s">
        <v>227</v>
      </c>
      <c r="D76" s="50"/>
      <c r="E76" s="52"/>
      <c r="F76" s="147" t="s">
        <v>228</v>
      </c>
      <c r="G76" s="50"/>
      <c r="H76" s="52"/>
    </row>
    <row r="77" ht="15.75" customHeight="1">
      <c r="C77" s="146" t="s">
        <v>229</v>
      </c>
      <c r="D77" s="50"/>
      <c r="E77" s="52"/>
      <c r="F77" s="147" t="s">
        <v>230</v>
      </c>
      <c r="G77" s="50"/>
      <c r="H77" s="52"/>
    </row>
    <row r="78" ht="15.75" customHeight="1">
      <c r="C78" s="146" t="s">
        <v>231</v>
      </c>
      <c r="D78" s="50"/>
      <c r="E78" s="52"/>
      <c r="F78" s="147" t="s">
        <v>232</v>
      </c>
      <c r="G78" s="50"/>
      <c r="H78" s="52"/>
    </row>
    <row r="79" ht="51.0" customHeight="1">
      <c r="C79" s="148" t="s">
        <v>233</v>
      </c>
      <c r="D79" s="50"/>
      <c r="E79" s="52"/>
      <c r="F79" s="149" t="s">
        <v>234</v>
      </c>
      <c r="G79" s="50"/>
      <c r="H79" s="52"/>
    </row>
    <row r="80" ht="15.75" customHeight="1">
      <c r="C80" s="141"/>
      <c r="D80" s="50"/>
      <c r="E80" s="52"/>
      <c r="F80" s="150"/>
      <c r="G80" s="50"/>
      <c r="H80" s="52"/>
    </row>
    <row r="81" ht="15.75" customHeight="1">
      <c r="C81" s="151"/>
      <c r="D81" s="50"/>
      <c r="E81" s="52"/>
      <c r="F81" s="152"/>
      <c r="G81" s="50"/>
      <c r="H81" s="52"/>
    </row>
    <row r="82" ht="15.75" customHeight="1">
      <c r="C82" s="123" t="s">
        <v>235</v>
      </c>
      <c r="D82" s="50"/>
      <c r="E82" s="50"/>
      <c r="F82" s="50"/>
      <c r="G82" s="50"/>
      <c r="H82" s="52"/>
    </row>
    <row r="83" ht="15.75" customHeight="1">
      <c r="C83" s="153" t="s">
        <v>236</v>
      </c>
      <c r="D83" s="50"/>
      <c r="E83" s="50"/>
      <c r="F83" s="50"/>
      <c r="G83" s="50"/>
      <c r="H83" s="52"/>
    </row>
    <row r="84" ht="15.75" customHeight="1">
      <c r="C84" s="153" t="s">
        <v>237</v>
      </c>
      <c r="D84" s="50"/>
      <c r="E84" s="50"/>
      <c r="F84" s="50"/>
      <c r="G84" s="50"/>
      <c r="H84" s="52"/>
    </row>
    <row r="85" ht="15.75" customHeight="1">
      <c r="C85" s="154" t="s">
        <v>238</v>
      </c>
      <c r="D85" s="50"/>
      <c r="E85" s="50"/>
      <c r="F85" s="50"/>
      <c r="G85" s="50"/>
      <c r="H85" s="52"/>
    </row>
    <row r="86" ht="15.75" customHeight="1">
      <c r="C86" s="154" t="s">
        <v>239</v>
      </c>
      <c r="D86" s="50"/>
      <c r="E86" s="50"/>
      <c r="F86" s="50"/>
      <c r="G86" s="50"/>
      <c r="H86" s="52"/>
    </row>
    <row r="87" ht="15.75" customHeight="1">
      <c r="C87" s="154" t="s">
        <v>240</v>
      </c>
      <c r="D87" s="50"/>
      <c r="E87" s="50"/>
      <c r="F87" s="50"/>
      <c r="G87" s="50"/>
      <c r="H87" s="52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101">
    <mergeCell ref="C3:L3"/>
    <mergeCell ref="D4:G4"/>
    <mergeCell ref="H4:J4"/>
    <mergeCell ref="D5:G5"/>
    <mergeCell ref="H5:J5"/>
    <mergeCell ref="D7:J7"/>
    <mergeCell ref="K7:L7"/>
    <mergeCell ref="D8:J8"/>
    <mergeCell ref="K8:L8"/>
    <mergeCell ref="C11:H12"/>
    <mergeCell ref="D14:F14"/>
    <mergeCell ref="G14:H14"/>
    <mergeCell ref="D15:F15"/>
    <mergeCell ref="G15:H15"/>
    <mergeCell ref="C17:H17"/>
    <mergeCell ref="C18:H20"/>
    <mergeCell ref="C21:H21"/>
    <mergeCell ref="C22:H22"/>
    <mergeCell ref="C23:H23"/>
    <mergeCell ref="C25:H25"/>
    <mergeCell ref="D29:F30"/>
    <mergeCell ref="G29:H30"/>
    <mergeCell ref="D26:F26"/>
    <mergeCell ref="G26:H26"/>
    <mergeCell ref="D27:F27"/>
    <mergeCell ref="G27:H27"/>
    <mergeCell ref="D28:F28"/>
    <mergeCell ref="G28:H28"/>
    <mergeCell ref="C29:C30"/>
    <mergeCell ref="C32:H32"/>
    <mergeCell ref="C33:H33"/>
    <mergeCell ref="C35:H35"/>
    <mergeCell ref="C36:H36"/>
    <mergeCell ref="C37:H37"/>
    <mergeCell ref="C40:H40"/>
    <mergeCell ref="C41:H41"/>
    <mergeCell ref="C46:D46"/>
    <mergeCell ref="C48:D48"/>
    <mergeCell ref="C49:D50"/>
    <mergeCell ref="E68:G68"/>
    <mergeCell ref="E69:G69"/>
    <mergeCell ref="E70:G70"/>
    <mergeCell ref="E71:G71"/>
    <mergeCell ref="E72:G72"/>
    <mergeCell ref="E73:G73"/>
    <mergeCell ref="C74:H74"/>
    <mergeCell ref="C75:E75"/>
    <mergeCell ref="F75:H75"/>
    <mergeCell ref="C76:E76"/>
    <mergeCell ref="F76:H76"/>
    <mergeCell ref="C77:E77"/>
    <mergeCell ref="F77:H77"/>
    <mergeCell ref="F78:H78"/>
    <mergeCell ref="C43:H43"/>
    <mergeCell ref="C44:D44"/>
    <mergeCell ref="E44:G44"/>
    <mergeCell ref="C45:D45"/>
    <mergeCell ref="E45:G45"/>
    <mergeCell ref="E46:G46"/>
    <mergeCell ref="C47:H47"/>
    <mergeCell ref="E48:H48"/>
    <mergeCell ref="E49:H50"/>
    <mergeCell ref="C51:D52"/>
    <mergeCell ref="E51:H52"/>
    <mergeCell ref="C53:D54"/>
    <mergeCell ref="E53:H54"/>
    <mergeCell ref="C55:H55"/>
    <mergeCell ref="F56:H56"/>
    <mergeCell ref="F57:H57"/>
    <mergeCell ref="F58:H58"/>
    <mergeCell ref="F59:H59"/>
    <mergeCell ref="F60:H60"/>
    <mergeCell ref="F61:H61"/>
    <mergeCell ref="C62:H62"/>
    <mergeCell ref="C67:D67"/>
    <mergeCell ref="C68:D68"/>
    <mergeCell ref="C69:D69"/>
    <mergeCell ref="C70:D70"/>
    <mergeCell ref="C71:D71"/>
    <mergeCell ref="C72:D72"/>
    <mergeCell ref="C73:D73"/>
    <mergeCell ref="C63:H63"/>
    <mergeCell ref="C64:H64"/>
    <mergeCell ref="C65:D65"/>
    <mergeCell ref="E65:G65"/>
    <mergeCell ref="C66:D66"/>
    <mergeCell ref="E66:G66"/>
    <mergeCell ref="E67:G67"/>
    <mergeCell ref="C78:E78"/>
    <mergeCell ref="C79:E79"/>
    <mergeCell ref="C80:E80"/>
    <mergeCell ref="C81:E81"/>
    <mergeCell ref="C86:H86"/>
    <mergeCell ref="C87:H87"/>
    <mergeCell ref="F79:H79"/>
    <mergeCell ref="F80:H80"/>
    <mergeCell ref="F81:H81"/>
    <mergeCell ref="C82:H82"/>
    <mergeCell ref="C83:H83"/>
    <mergeCell ref="C84:H84"/>
    <mergeCell ref="C85:H8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/>
  </sheetPr>
  <sheetViews>
    <sheetView showGridLines="0" workbookViewId="0"/>
  </sheetViews>
  <sheetFormatPr customHeight="1" defaultColWidth="12.63" defaultRowHeight="15.0"/>
  <cols>
    <col customWidth="1" min="1" max="1" width="5.88"/>
    <col customWidth="1" min="2" max="2" width="30.63"/>
    <col customWidth="1" min="3" max="3" width="5.88"/>
    <col customWidth="1" min="4" max="4" width="2.5"/>
    <col customWidth="1" min="5" max="5" width="9.13"/>
    <col customWidth="1" min="6" max="6" width="5.88"/>
    <col customWidth="1" min="7" max="7" width="5.5"/>
    <col customWidth="1" min="8" max="8" width="7.5"/>
    <col customWidth="1" min="9" max="9" width="5.88"/>
    <col customWidth="1" min="10" max="10" width="36.5"/>
    <col customWidth="1" min="11" max="11" width="37.63"/>
    <col customWidth="1" min="12" max="26" width="9.38"/>
  </cols>
  <sheetData>
    <row r="4">
      <c r="B4" s="2" t="s">
        <v>0</v>
      </c>
      <c r="C4" s="3"/>
      <c r="D4" s="3"/>
      <c r="E4" s="3"/>
      <c r="F4" s="3"/>
      <c r="G4" s="3"/>
      <c r="H4" s="3"/>
      <c r="I4" s="3"/>
      <c r="J4" s="3"/>
      <c r="K4" s="5"/>
    </row>
    <row r="5" ht="20.25" customHeight="1">
      <c r="B5" s="6" t="s">
        <v>1</v>
      </c>
      <c r="C5" s="7" t="s">
        <v>2</v>
      </c>
      <c r="D5" s="3"/>
      <c r="E5" s="3"/>
      <c r="F5" s="5"/>
      <c r="G5" s="7" t="s">
        <v>3</v>
      </c>
      <c r="H5" s="3"/>
      <c r="I5" s="5"/>
      <c r="J5" s="6" t="s">
        <v>4</v>
      </c>
      <c r="K5" s="6" t="s">
        <v>5</v>
      </c>
    </row>
    <row r="6" ht="26.25" customHeight="1">
      <c r="B6" s="9">
        <v>1.0</v>
      </c>
      <c r="C6" s="10" t="s">
        <v>6</v>
      </c>
      <c r="D6" s="3"/>
      <c r="E6" s="3"/>
      <c r="F6" s="5"/>
      <c r="G6" s="10" t="s">
        <v>7</v>
      </c>
      <c r="H6" s="3"/>
      <c r="I6" s="5"/>
      <c r="J6" s="9" t="s">
        <v>8</v>
      </c>
      <c r="K6" s="11">
        <v>46269.0</v>
      </c>
    </row>
    <row r="7" ht="30.0" customHeight="1">
      <c r="K7" s="12"/>
    </row>
    <row r="8" ht="21.75" customHeight="1">
      <c r="B8" s="13" t="s">
        <v>9</v>
      </c>
      <c r="C8" s="2" t="s">
        <v>10</v>
      </c>
      <c r="D8" s="3"/>
      <c r="E8" s="3"/>
      <c r="F8" s="3"/>
      <c r="G8" s="3"/>
      <c r="H8" s="3"/>
      <c r="I8" s="5"/>
      <c r="J8" s="2" t="s">
        <v>11</v>
      </c>
      <c r="K8" s="5"/>
    </row>
    <row r="9" ht="15.75" customHeight="1">
      <c r="B9" s="9" t="s">
        <v>12</v>
      </c>
      <c r="C9" s="10" t="s">
        <v>13</v>
      </c>
      <c r="D9" s="3"/>
      <c r="E9" s="3"/>
      <c r="F9" s="3"/>
      <c r="G9" s="3"/>
      <c r="H9" s="3"/>
      <c r="I9" s="5"/>
      <c r="J9" s="10" t="s">
        <v>15</v>
      </c>
      <c r="K9" s="5"/>
    </row>
    <row r="10" ht="15.75" customHeight="1">
      <c r="K10" s="1"/>
    </row>
    <row r="11" ht="15.75" customHeight="1">
      <c r="K11" s="1"/>
    </row>
    <row r="12" ht="21.0" customHeight="1">
      <c r="B12" s="20" t="s">
        <v>17</v>
      </c>
      <c r="C12" s="24" t="s">
        <v>20</v>
      </c>
      <c r="D12" s="3"/>
      <c r="E12" s="3"/>
      <c r="F12" s="3"/>
      <c r="G12" s="5"/>
      <c r="H12" s="31" t="s">
        <v>21</v>
      </c>
      <c r="I12" s="31" t="s">
        <v>23</v>
      </c>
      <c r="J12" s="20" t="s">
        <v>24</v>
      </c>
      <c r="K12" s="20" t="s">
        <v>25</v>
      </c>
    </row>
    <row r="13" ht="69.0" customHeight="1">
      <c r="B13" s="38"/>
      <c r="C13" s="39" t="s">
        <v>26</v>
      </c>
      <c r="D13" s="39" t="s">
        <v>28</v>
      </c>
      <c r="E13" s="39" t="s">
        <v>29</v>
      </c>
      <c r="F13" s="39" t="s">
        <v>30</v>
      </c>
      <c r="G13" s="39" t="s">
        <v>31</v>
      </c>
      <c r="H13" s="38"/>
      <c r="I13" s="38"/>
      <c r="J13" s="38"/>
      <c r="K13" s="38"/>
    </row>
    <row r="14" ht="29.25" customHeight="1">
      <c r="B14" s="46" t="s">
        <v>32</v>
      </c>
      <c r="C14" s="48" t="s">
        <v>34</v>
      </c>
      <c r="D14" s="48"/>
      <c r="E14" s="48"/>
      <c r="F14" s="48" t="s">
        <v>41</v>
      </c>
      <c r="G14" s="48"/>
      <c r="H14" s="48" t="s">
        <v>43</v>
      </c>
      <c r="I14" s="51" t="s">
        <v>43</v>
      </c>
      <c r="J14" s="61" t="str">
        <f t="shared" ref="J14:J18" si="1">IF(AND(H14="A",I14="A"),"GESTIONAR DE CERCA",IF(AND(H14="A",I14="B"),"MANTENER SATISFECHO",IF(AND(H14="B",I14="A"),"MANTENER INFORMADO",IF(AND(H14="B",I14="B"),"MONITOREAR POR SI CAMBIA DE ESTADO",""))))</f>
        <v>GESTIONAR DE CERCA</v>
      </c>
      <c r="K14" s="64" t="s">
        <v>53</v>
      </c>
    </row>
    <row r="15" ht="15.75" customHeight="1">
      <c r="B15" s="51" t="s">
        <v>59</v>
      </c>
      <c r="C15" s="48"/>
      <c r="D15" s="48"/>
      <c r="E15" s="51" t="s">
        <v>34</v>
      </c>
      <c r="F15" s="51" t="s">
        <v>41</v>
      </c>
      <c r="G15" s="48"/>
      <c r="H15" s="51" t="s">
        <v>43</v>
      </c>
      <c r="I15" s="51" t="s">
        <v>64</v>
      </c>
      <c r="J15" s="61" t="str">
        <f t="shared" si="1"/>
        <v>MANTENER SATISFECHO</v>
      </c>
      <c r="K15" s="51" t="s">
        <v>70</v>
      </c>
    </row>
    <row r="16" ht="15.75" customHeight="1">
      <c r="B16" s="46" t="s">
        <v>72</v>
      </c>
      <c r="C16" s="48"/>
      <c r="D16" s="48"/>
      <c r="E16" s="48"/>
      <c r="F16" s="51" t="s">
        <v>34</v>
      </c>
      <c r="G16" s="51" t="s">
        <v>41</v>
      </c>
      <c r="H16" s="48" t="s">
        <v>43</v>
      </c>
      <c r="I16" s="48" t="s">
        <v>43</v>
      </c>
      <c r="J16" s="61" t="str">
        <f t="shared" si="1"/>
        <v>GESTIONAR DE CERCA</v>
      </c>
      <c r="K16" s="78" t="s">
        <v>83</v>
      </c>
    </row>
    <row r="17" ht="15.75" customHeight="1">
      <c r="B17" s="51" t="s">
        <v>84</v>
      </c>
      <c r="C17" s="51" t="s">
        <v>34</v>
      </c>
      <c r="D17" s="48"/>
      <c r="E17" s="51" t="s">
        <v>41</v>
      </c>
      <c r="F17" s="48"/>
      <c r="G17" s="48"/>
      <c r="H17" s="48" t="s">
        <v>64</v>
      </c>
      <c r="I17" s="51" t="s">
        <v>43</v>
      </c>
      <c r="J17" s="61" t="str">
        <f t="shared" si="1"/>
        <v>MANTENER INFORMADO</v>
      </c>
      <c r="K17" s="51" t="s">
        <v>95</v>
      </c>
    </row>
    <row r="18" ht="15.75" customHeight="1">
      <c r="B18" s="46" t="s">
        <v>97</v>
      </c>
      <c r="C18" s="48"/>
      <c r="D18" s="48"/>
      <c r="E18" s="48"/>
      <c r="F18" s="48"/>
      <c r="G18" s="51" t="s">
        <v>102</v>
      </c>
      <c r="H18" s="51" t="s">
        <v>43</v>
      </c>
      <c r="I18" s="51" t="s">
        <v>43</v>
      </c>
      <c r="J18" s="61" t="str">
        <f t="shared" si="1"/>
        <v>GESTIONAR DE CERCA</v>
      </c>
      <c r="K18" s="78" t="s">
        <v>107</v>
      </c>
    </row>
    <row r="19" ht="15.75" customHeight="1">
      <c r="O19" s="93"/>
      <c r="P19" s="93"/>
    </row>
    <row r="20" ht="15.75" customHeight="1">
      <c r="O20" s="93"/>
      <c r="P20" s="93"/>
    </row>
    <row r="21" ht="15.75" customHeight="1">
      <c r="B21" s="97" t="s">
        <v>114</v>
      </c>
      <c r="E21" s="98" t="s">
        <v>119</v>
      </c>
      <c r="F21" s="99"/>
      <c r="G21" s="98" t="s">
        <v>122</v>
      </c>
      <c r="H21" s="99"/>
      <c r="I21" s="98" t="s">
        <v>123</v>
      </c>
      <c r="J21" s="99"/>
      <c r="O21" s="93"/>
      <c r="P21" s="93"/>
    </row>
    <row r="22" ht="15.75" customHeight="1">
      <c r="B22" s="102"/>
      <c r="E22" s="98" t="s">
        <v>126</v>
      </c>
      <c r="F22" s="99"/>
      <c r="G22" s="99"/>
      <c r="H22" s="98" t="s">
        <v>127</v>
      </c>
      <c r="I22" s="99"/>
      <c r="J22" s="98" t="s">
        <v>129</v>
      </c>
    </row>
    <row r="23" ht="15.75" customHeight="1">
      <c r="B23" s="105"/>
      <c r="O23" s="93"/>
      <c r="P23" s="93"/>
    </row>
    <row r="24" ht="21.0" customHeight="1">
      <c r="O24" s="93"/>
      <c r="P24" s="93"/>
    </row>
    <row r="25" ht="21.0" customHeight="1">
      <c r="B25" s="107" t="s">
        <v>133</v>
      </c>
    </row>
    <row r="26" ht="21.0" customHeight="1">
      <c r="B26" s="111" t="str">
        <f t="shared" ref="B26:B30" si="2">B14</f>
        <v>Jefatura de áreas</v>
      </c>
    </row>
    <row r="27" ht="21.0" customHeight="1">
      <c r="B27" s="111" t="str">
        <f t="shared" si="2"/>
        <v>RRHH</v>
      </c>
    </row>
    <row r="28" ht="21.0" customHeight="1">
      <c r="B28" s="111" t="str">
        <f t="shared" si="2"/>
        <v>Administrador TI / equipo de soporte</v>
      </c>
    </row>
    <row r="29" ht="21.0" customHeight="1">
      <c r="B29" s="111" t="str">
        <f t="shared" si="2"/>
        <v>Auditoría interna</v>
      </c>
    </row>
    <row r="30" ht="21.0" customHeight="1">
      <c r="B30" s="111" t="str">
        <f t="shared" si="2"/>
        <v>Jefe de práctica MAF Chile</v>
      </c>
    </row>
    <row r="31" ht="21.0" customHeight="1"/>
    <row r="32" ht="21.0" customHeight="1"/>
    <row r="33" ht="21.0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6">
    <mergeCell ref="B4:K4"/>
    <mergeCell ref="C5:F5"/>
    <mergeCell ref="G5:I5"/>
    <mergeCell ref="C6:F6"/>
    <mergeCell ref="G6:I6"/>
    <mergeCell ref="C8:I8"/>
    <mergeCell ref="J8:K8"/>
    <mergeCell ref="B12:B13"/>
    <mergeCell ref="B21:B23"/>
    <mergeCell ref="C9:I9"/>
    <mergeCell ref="J9:K9"/>
    <mergeCell ref="C12:G12"/>
    <mergeCell ref="H12:H13"/>
    <mergeCell ref="I12:I13"/>
    <mergeCell ref="J12:J13"/>
    <mergeCell ref="K12:K13"/>
  </mergeCells>
  <conditionalFormatting sqref="J14:J18">
    <cfRule type="containsText" dxfId="0" priority="1" operator="containsText" text="MONITOREAR POR SI CAMBIA DE ESTADO">
      <formula>NOT(ISERROR(SEARCH(("MONITOREAR POR SI CAMBIA DE ESTADO"),(J14))))</formula>
    </cfRule>
  </conditionalFormatting>
  <conditionalFormatting sqref="J14:J18">
    <cfRule type="containsText" dxfId="1" priority="2" operator="containsText" text="MANTENER INFORMADO">
      <formula>NOT(ISERROR(SEARCH(("MANTENER INFORMADO"),(J14))))</formula>
    </cfRule>
  </conditionalFormatting>
  <conditionalFormatting sqref="J14:J18">
    <cfRule type="containsText" dxfId="2" priority="3" operator="containsText" text="MANTENER SATISFECHO">
      <formula>NOT(ISERROR(SEARCH(("MANTENER SATISFECHO"),(J14))))</formula>
    </cfRule>
  </conditionalFormatting>
  <conditionalFormatting sqref="J14:J18">
    <cfRule type="containsText" dxfId="3" priority="4" operator="containsText" text="GESTIONAR DE CERCA">
      <formula>NOT(ISERROR(SEARCH(("GESTIONAR DE CERCA"),(J14))))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17.88"/>
    <col customWidth="1" min="3" max="3" width="16.88"/>
    <col customWidth="1" min="4" max="4" width="24.13"/>
    <col customWidth="1" min="5" max="5" width="41.88"/>
    <col customWidth="1" min="6" max="6" width="21.5"/>
    <col customWidth="1" min="7" max="7" width="22.63"/>
    <col customWidth="1" min="8" max="26" width="9.38"/>
  </cols>
  <sheetData>
    <row r="3">
      <c r="B3" s="4" t="s">
        <v>0</v>
      </c>
      <c r="C3" s="14"/>
      <c r="D3" s="14"/>
      <c r="E3" s="14"/>
      <c r="F3" s="14"/>
      <c r="G3" s="15"/>
    </row>
    <row r="4">
      <c r="B4" s="6" t="s">
        <v>1</v>
      </c>
      <c r="C4" s="7" t="s">
        <v>2</v>
      </c>
      <c r="D4" s="5"/>
      <c r="E4" s="6" t="s">
        <v>3</v>
      </c>
      <c r="F4" s="6" t="s">
        <v>4</v>
      </c>
      <c r="G4" s="6" t="s">
        <v>5</v>
      </c>
    </row>
    <row r="5">
      <c r="B5" s="18">
        <v>1.0</v>
      </c>
      <c r="C5" s="19" t="s">
        <v>6</v>
      </c>
      <c r="D5" s="21"/>
      <c r="E5" s="23" t="s">
        <v>7</v>
      </c>
      <c r="F5" s="23" t="s">
        <v>8</v>
      </c>
      <c r="G5" s="25">
        <v>46269.0</v>
      </c>
    </row>
    <row r="7">
      <c r="B7" s="29" t="s">
        <v>22</v>
      </c>
    </row>
    <row r="9" ht="20.25" customHeight="1"/>
    <row r="10" ht="20.25" customHeight="1">
      <c r="B10" s="34" t="s">
        <v>9</v>
      </c>
      <c r="C10" s="36" t="s">
        <v>10</v>
      </c>
      <c r="D10" s="3"/>
      <c r="E10" s="5"/>
      <c r="F10" s="36" t="s">
        <v>11</v>
      </c>
      <c r="G10" s="5"/>
    </row>
    <row r="11">
      <c r="B11" s="41" t="s">
        <v>12</v>
      </c>
      <c r="C11" s="45" t="s">
        <v>13</v>
      </c>
      <c r="D11" s="3"/>
      <c r="E11" s="5"/>
      <c r="F11" s="45" t="s">
        <v>15</v>
      </c>
      <c r="G11" s="5"/>
    </row>
    <row r="13" ht="15.0" customHeight="1"/>
    <row r="14">
      <c r="B14" s="47" t="s">
        <v>10</v>
      </c>
      <c r="C14" s="47" t="s">
        <v>36</v>
      </c>
      <c r="D14" s="47" t="s">
        <v>37</v>
      </c>
      <c r="E14" s="47" t="s">
        <v>38</v>
      </c>
      <c r="F14" s="47" t="s">
        <v>40</v>
      </c>
      <c r="G14" s="47" t="s">
        <v>42</v>
      </c>
    </row>
    <row r="15">
      <c r="B15" s="54" t="s">
        <v>13</v>
      </c>
      <c r="C15" s="57" t="s">
        <v>45</v>
      </c>
      <c r="D15" s="58" t="s">
        <v>46</v>
      </c>
      <c r="E15" s="58" t="s">
        <v>48</v>
      </c>
      <c r="F15" s="60" t="s">
        <v>49</v>
      </c>
      <c r="G15" s="62" t="s">
        <v>50</v>
      </c>
    </row>
    <row r="16">
      <c r="B16" s="63"/>
      <c r="C16" s="63"/>
      <c r="D16" s="62" t="s">
        <v>55</v>
      </c>
      <c r="E16" s="58" t="s">
        <v>57</v>
      </c>
      <c r="F16" s="63"/>
      <c r="G16" s="63"/>
    </row>
    <row r="17">
      <c r="B17" s="63"/>
      <c r="C17" s="66"/>
      <c r="D17" s="66"/>
      <c r="E17" s="58" t="s">
        <v>60</v>
      </c>
      <c r="F17" s="66"/>
      <c r="G17" s="66"/>
    </row>
    <row r="18">
      <c r="B18" s="63"/>
      <c r="C18" s="70" t="s">
        <v>62</v>
      </c>
      <c r="D18" s="62" t="s">
        <v>66</v>
      </c>
      <c r="E18" s="58" t="s">
        <v>67</v>
      </c>
      <c r="F18" s="62" t="s">
        <v>69</v>
      </c>
      <c r="G18" s="62" t="s">
        <v>50</v>
      </c>
    </row>
    <row r="19">
      <c r="B19" s="63"/>
      <c r="C19" s="63"/>
      <c r="D19" s="66"/>
      <c r="E19" s="58" t="s">
        <v>74</v>
      </c>
      <c r="F19" s="66"/>
      <c r="G19" s="66"/>
    </row>
    <row r="20">
      <c r="B20" s="63"/>
      <c r="C20" s="63"/>
      <c r="D20" s="62" t="s">
        <v>76</v>
      </c>
      <c r="E20" s="58" t="s">
        <v>77</v>
      </c>
      <c r="F20" s="77" t="s">
        <v>79</v>
      </c>
      <c r="G20" s="58" t="s">
        <v>50</v>
      </c>
    </row>
    <row r="21" ht="27.0" customHeight="1">
      <c r="B21" s="63"/>
      <c r="C21" s="63"/>
      <c r="D21" s="66"/>
      <c r="E21" s="58" t="s">
        <v>82</v>
      </c>
      <c r="F21" s="58" t="s">
        <v>69</v>
      </c>
      <c r="G21" s="58" t="s">
        <v>50</v>
      </c>
    </row>
    <row r="22" ht="27.0" customHeight="1">
      <c r="B22" s="63"/>
      <c r="C22" s="66"/>
      <c r="D22" s="58" t="s">
        <v>86</v>
      </c>
      <c r="E22" s="58" t="s">
        <v>87</v>
      </c>
      <c r="F22" s="58" t="s">
        <v>69</v>
      </c>
      <c r="G22" s="58" t="s">
        <v>50</v>
      </c>
    </row>
    <row r="23" ht="27.0" customHeight="1">
      <c r="B23" s="63"/>
      <c r="C23" s="70" t="s">
        <v>89</v>
      </c>
      <c r="D23" s="62" t="s">
        <v>91</v>
      </c>
      <c r="E23" s="58" t="s">
        <v>93</v>
      </c>
      <c r="F23" s="60" t="s">
        <v>79</v>
      </c>
      <c r="G23" s="62" t="s">
        <v>98</v>
      </c>
    </row>
    <row r="24" ht="27.0" customHeight="1">
      <c r="B24" s="63"/>
      <c r="C24" s="63"/>
      <c r="D24" s="66"/>
      <c r="E24" s="58" t="s">
        <v>100</v>
      </c>
      <c r="F24" s="63"/>
      <c r="G24" s="63"/>
    </row>
    <row r="25" ht="27.0" customHeight="1">
      <c r="B25" s="63"/>
      <c r="C25" s="63"/>
      <c r="D25" s="62" t="s">
        <v>103</v>
      </c>
      <c r="E25" s="58" t="s">
        <v>105</v>
      </c>
      <c r="F25" s="63"/>
      <c r="G25" s="63"/>
    </row>
    <row r="26" ht="27.0" customHeight="1">
      <c r="B26" s="63"/>
      <c r="C26" s="66"/>
      <c r="D26" s="66"/>
      <c r="E26" s="58" t="s">
        <v>110</v>
      </c>
      <c r="F26" s="66"/>
      <c r="G26" s="66"/>
    </row>
    <row r="27" ht="27.0" customHeight="1">
      <c r="B27" s="63"/>
      <c r="C27" s="70" t="s">
        <v>112</v>
      </c>
      <c r="D27" s="62" t="s">
        <v>115</v>
      </c>
      <c r="E27" s="58" t="s">
        <v>116</v>
      </c>
      <c r="F27" s="60" t="s">
        <v>118</v>
      </c>
      <c r="G27" s="62" t="s">
        <v>121</v>
      </c>
    </row>
    <row r="28" ht="27.0" customHeight="1">
      <c r="B28" s="63"/>
      <c r="C28" s="63"/>
      <c r="D28" s="63"/>
      <c r="E28" s="58" t="s">
        <v>124</v>
      </c>
      <c r="F28" s="63"/>
      <c r="G28" s="63"/>
    </row>
    <row r="29" ht="27.0" customHeight="1">
      <c r="B29" s="63"/>
      <c r="C29" s="63"/>
      <c r="D29" s="66"/>
      <c r="E29" s="58" t="s">
        <v>125</v>
      </c>
      <c r="F29" s="66"/>
      <c r="G29" s="66"/>
    </row>
    <row r="30" ht="27.0" customHeight="1">
      <c r="B30" s="63"/>
      <c r="C30" s="63"/>
      <c r="D30" s="62" t="s">
        <v>130</v>
      </c>
      <c r="E30" s="58" t="s">
        <v>131</v>
      </c>
      <c r="F30" s="60" t="s">
        <v>118</v>
      </c>
      <c r="G30" s="62" t="s">
        <v>121</v>
      </c>
    </row>
    <row r="31" ht="27.0" customHeight="1">
      <c r="B31" s="63"/>
      <c r="C31" s="63"/>
      <c r="D31" s="66"/>
      <c r="E31" s="58" t="s">
        <v>134</v>
      </c>
      <c r="F31" s="63"/>
      <c r="G31" s="63"/>
    </row>
    <row r="32" ht="27.0" customHeight="1">
      <c r="B32" s="63"/>
      <c r="C32" s="63"/>
      <c r="D32" s="62" t="s">
        <v>135</v>
      </c>
      <c r="E32" s="58" t="s">
        <v>136</v>
      </c>
      <c r="F32" s="63"/>
      <c r="G32" s="63"/>
    </row>
    <row r="33" ht="27.0" customHeight="1">
      <c r="B33" s="63"/>
      <c r="C33" s="63"/>
      <c r="D33" s="63"/>
      <c r="E33" s="58" t="s">
        <v>139</v>
      </c>
      <c r="F33" s="63"/>
      <c r="G33" s="63"/>
    </row>
    <row r="34" ht="27.0" customHeight="1">
      <c r="B34" s="63"/>
      <c r="C34" s="66"/>
      <c r="D34" s="66"/>
      <c r="E34" s="58" t="s">
        <v>140</v>
      </c>
      <c r="F34" s="66"/>
      <c r="G34" s="66"/>
    </row>
    <row r="35" ht="27.0" customHeight="1">
      <c r="B35" s="63"/>
      <c r="C35" s="70" t="s">
        <v>141</v>
      </c>
      <c r="D35" s="58" t="s">
        <v>143</v>
      </c>
      <c r="E35" s="58" t="s">
        <v>144</v>
      </c>
      <c r="F35" s="62" t="s">
        <v>69</v>
      </c>
      <c r="G35" s="62" t="s">
        <v>121</v>
      </c>
    </row>
    <row r="36" ht="27.0" customHeight="1">
      <c r="B36" s="63"/>
      <c r="C36" s="63"/>
      <c r="D36" s="58" t="s">
        <v>145</v>
      </c>
      <c r="E36" s="58" t="s">
        <v>146</v>
      </c>
      <c r="F36" s="63"/>
      <c r="G36" s="63"/>
    </row>
    <row r="37" ht="27.0" customHeight="1">
      <c r="B37" s="63"/>
      <c r="C37" s="66"/>
      <c r="D37" s="58" t="s">
        <v>147</v>
      </c>
      <c r="E37" s="58" t="s">
        <v>148</v>
      </c>
      <c r="F37" s="66"/>
      <c r="G37" s="66"/>
    </row>
    <row r="38" ht="27.0" customHeight="1">
      <c r="B38" s="63"/>
      <c r="C38" s="70" t="s">
        <v>149</v>
      </c>
      <c r="D38" s="62" t="s">
        <v>150</v>
      </c>
      <c r="E38" s="58" t="s">
        <v>152</v>
      </c>
      <c r="F38" s="119" t="s">
        <v>69</v>
      </c>
      <c r="G38" s="119" t="s">
        <v>121</v>
      </c>
    </row>
    <row r="39" ht="27.0" customHeight="1">
      <c r="B39" s="63"/>
      <c r="C39" s="63"/>
      <c r="D39" s="66"/>
      <c r="E39" s="58" t="s">
        <v>153</v>
      </c>
      <c r="F39" s="58" t="s">
        <v>154</v>
      </c>
      <c r="G39" s="58" t="s">
        <v>121</v>
      </c>
    </row>
    <row r="40" ht="27.0" customHeight="1">
      <c r="B40" s="63"/>
      <c r="C40" s="63"/>
      <c r="D40" s="62" t="s">
        <v>156</v>
      </c>
      <c r="E40" s="58" t="s">
        <v>157</v>
      </c>
      <c r="F40" s="58" t="s">
        <v>158</v>
      </c>
      <c r="G40" s="58" t="s">
        <v>121</v>
      </c>
    </row>
    <row r="41" ht="39.75" customHeight="1">
      <c r="B41" s="63"/>
      <c r="C41" s="63"/>
      <c r="D41" s="63"/>
      <c r="E41" s="58" t="s">
        <v>159</v>
      </c>
      <c r="F41" s="58" t="s">
        <v>154</v>
      </c>
      <c r="G41" s="58" t="s">
        <v>121</v>
      </c>
    </row>
    <row r="42" ht="39.75" customHeight="1">
      <c r="B42" s="63"/>
      <c r="C42" s="63"/>
      <c r="D42" s="66"/>
      <c r="E42" s="58" t="s">
        <v>161</v>
      </c>
      <c r="F42" s="58" t="s">
        <v>69</v>
      </c>
      <c r="G42" s="58" t="s">
        <v>121</v>
      </c>
    </row>
    <row r="43" ht="27.0" customHeight="1">
      <c r="B43" s="63"/>
      <c r="C43" s="66"/>
      <c r="D43" s="58" t="s">
        <v>163</v>
      </c>
      <c r="E43" s="58" t="s">
        <v>165</v>
      </c>
      <c r="F43" s="58" t="s">
        <v>154</v>
      </c>
      <c r="G43" s="58" t="s">
        <v>121</v>
      </c>
    </row>
    <row r="44" ht="27.0" customHeight="1">
      <c r="B44" s="63"/>
      <c r="C44" s="127" t="s">
        <v>167</v>
      </c>
      <c r="D44" s="58" t="s">
        <v>171</v>
      </c>
      <c r="E44" s="58" t="s">
        <v>172</v>
      </c>
      <c r="F44" s="58" t="s">
        <v>69</v>
      </c>
      <c r="G44" s="58" t="s">
        <v>173</v>
      </c>
    </row>
    <row r="45" ht="27.0" customHeight="1">
      <c r="B45" s="63"/>
      <c r="C45" s="63"/>
      <c r="D45" s="131" t="s">
        <v>174</v>
      </c>
      <c r="E45" s="131" t="s">
        <v>176</v>
      </c>
      <c r="F45" s="58" t="s">
        <v>69</v>
      </c>
      <c r="G45" s="58" t="s">
        <v>173</v>
      </c>
    </row>
    <row r="46" ht="27.0" customHeight="1">
      <c r="B46" s="63"/>
      <c r="C46" s="66"/>
      <c r="D46" s="58" t="s">
        <v>177</v>
      </c>
      <c r="E46" s="58" t="s">
        <v>178</v>
      </c>
      <c r="F46" s="58" t="s">
        <v>158</v>
      </c>
      <c r="G46" s="58" t="s">
        <v>180</v>
      </c>
    </row>
    <row r="47" ht="29.25" customHeight="1">
      <c r="B47" s="63"/>
      <c r="C47" s="70" t="s">
        <v>181</v>
      </c>
      <c r="D47" s="134" t="s">
        <v>182</v>
      </c>
      <c r="E47" s="58" t="s">
        <v>184</v>
      </c>
      <c r="F47" s="60" t="s">
        <v>118</v>
      </c>
      <c r="G47" s="62" t="s">
        <v>180</v>
      </c>
    </row>
    <row r="48" ht="52.5" customHeight="1">
      <c r="B48" s="63"/>
      <c r="C48" s="63"/>
      <c r="D48" s="66"/>
      <c r="E48" s="58" t="s">
        <v>186</v>
      </c>
      <c r="F48" s="63"/>
      <c r="G48" s="63"/>
    </row>
    <row r="49" ht="27.0" customHeight="1">
      <c r="B49" s="66"/>
      <c r="C49" s="66"/>
      <c r="D49" s="135" t="s">
        <v>187</v>
      </c>
      <c r="E49" s="58" t="s">
        <v>188</v>
      </c>
      <c r="F49" s="66"/>
      <c r="G49" s="66"/>
    </row>
    <row r="50" ht="27.0" customHeight="1"/>
    <row r="51" ht="27.0" customHeight="1"/>
    <row r="52" ht="27.0" customHeight="1"/>
    <row r="53" ht="47.25" customHeight="1"/>
    <row r="54" ht="47.25" customHeight="1"/>
    <row r="55" ht="47.2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2">
    <mergeCell ref="C38:C43"/>
    <mergeCell ref="D38:D39"/>
    <mergeCell ref="D40:D42"/>
    <mergeCell ref="C44:C46"/>
    <mergeCell ref="C47:C49"/>
    <mergeCell ref="C5:D5"/>
    <mergeCell ref="B15:B49"/>
    <mergeCell ref="C15:C17"/>
    <mergeCell ref="D16:D17"/>
    <mergeCell ref="C18:C22"/>
    <mergeCell ref="D18:D19"/>
    <mergeCell ref="D25:D26"/>
    <mergeCell ref="D47:D48"/>
    <mergeCell ref="B3:G3"/>
    <mergeCell ref="C4:D4"/>
    <mergeCell ref="B7:G8"/>
    <mergeCell ref="C10:E10"/>
    <mergeCell ref="F10:G10"/>
    <mergeCell ref="C11:E11"/>
    <mergeCell ref="F11:G11"/>
    <mergeCell ref="D20:D21"/>
    <mergeCell ref="D23:D24"/>
    <mergeCell ref="C23:C26"/>
    <mergeCell ref="C27:C34"/>
    <mergeCell ref="D27:D29"/>
    <mergeCell ref="D30:D31"/>
    <mergeCell ref="F27:F29"/>
    <mergeCell ref="F30:F34"/>
    <mergeCell ref="G30:G34"/>
    <mergeCell ref="F35:F37"/>
    <mergeCell ref="G35:G37"/>
    <mergeCell ref="F47:F49"/>
    <mergeCell ref="G47:G49"/>
    <mergeCell ref="F15:F17"/>
    <mergeCell ref="G15:G17"/>
    <mergeCell ref="F18:F19"/>
    <mergeCell ref="G18:G19"/>
    <mergeCell ref="F23:F26"/>
    <mergeCell ref="G23:G26"/>
    <mergeCell ref="G27:G29"/>
    <mergeCell ref="D32:D34"/>
    <mergeCell ref="C35:C3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63"/>
    <col customWidth="1" min="2" max="2" width="12.38"/>
    <col customWidth="1" min="3" max="3" width="13.13"/>
    <col customWidth="1" min="4" max="4" width="13.38"/>
    <col customWidth="1" min="5" max="5" width="9.38"/>
    <col customWidth="1" min="6" max="6" width="10.5"/>
    <col customWidth="1" min="7" max="7" width="11.13"/>
    <col customWidth="1" min="8" max="12" width="9.38"/>
    <col customWidth="1" min="13" max="13" width="18.13"/>
    <col customWidth="1" min="14" max="26" width="9.38"/>
  </cols>
  <sheetData>
    <row r="1">
      <c r="A1" s="1"/>
    </row>
    <row r="2">
      <c r="A2" s="1"/>
    </row>
    <row r="3">
      <c r="A3" s="1"/>
    </row>
    <row r="4">
      <c r="A4" s="1"/>
    </row>
    <row r="5">
      <c r="A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8" t="s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1"/>
      <c r="B8" s="6" t="s">
        <v>1</v>
      </c>
      <c r="C8" s="7" t="s">
        <v>2</v>
      </c>
      <c r="D8" s="3"/>
      <c r="E8" s="3"/>
      <c r="F8" s="5"/>
      <c r="G8" s="7" t="s">
        <v>3</v>
      </c>
      <c r="H8" s="3"/>
      <c r="I8" s="5"/>
      <c r="J8" s="7" t="s">
        <v>4</v>
      </c>
      <c r="K8" s="3"/>
      <c r="L8" s="5"/>
      <c r="M8" s="6" t="s">
        <v>5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6">
        <v>1.0</v>
      </c>
      <c r="C9" s="17" t="s">
        <v>14</v>
      </c>
      <c r="D9" s="3"/>
      <c r="E9" s="3"/>
      <c r="F9" s="5"/>
      <c r="G9" s="17" t="s">
        <v>16</v>
      </c>
      <c r="H9" s="3"/>
      <c r="I9" s="5"/>
      <c r="J9" s="17" t="s">
        <v>18</v>
      </c>
      <c r="K9" s="3"/>
      <c r="L9" s="5"/>
      <c r="M9" s="22">
        <v>43914.0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42" t="s">
        <v>27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8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8" t="s">
        <v>9</v>
      </c>
      <c r="C14" s="5"/>
      <c r="D14" s="8" t="s">
        <v>10</v>
      </c>
      <c r="E14" s="3"/>
      <c r="F14" s="3"/>
      <c r="G14" s="3"/>
      <c r="H14" s="3"/>
      <c r="I14" s="5"/>
      <c r="J14" s="8" t="s">
        <v>11</v>
      </c>
      <c r="K14" s="3"/>
      <c r="L14" s="3"/>
      <c r="M14" s="5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7" t="s">
        <v>52</v>
      </c>
      <c r="C15" s="5"/>
      <c r="D15" s="17" t="s">
        <v>54</v>
      </c>
      <c r="E15" s="3"/>
      <c r="F15" s="3"/>
      <c r="G15" s="3"/>
      <c r="H15" s="3"/>
      <c r="I15" s="5"/>
      <c r="J15" s="17" t="s">
        <v>58</v>
      </c>
      <c r="K15" s="3"/>
      <c r="L15" s="3"/>
      <c r="M15" s="5"/>
    </row>
    <row r="16">
      <c r="A16" s="1"/>
      <c r="B16" s="67"/>
      <c r="C16" s="67"/>
      <c r="D16" s="67"/>
      <c r="E16" s="6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67"/>
      <c r="C17" s="67"/>
      <c r="D17" s="67"/>
      <c r="E17" s="6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67"/>
      <c r="C18" s="67"/>
      <c r="D18" s="67"/>
      <c r="E18" s="6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82" t="s">
        <v>85</v>
      </c>
      <c r="C19" s="84" t="s">
        <v>88</v>
      </c>
      <c r="D19" s="75"/>
      <c r="E19" s="82" t="s">
        <v>90</v>
      </c>
      <c r="F19" s="82" t="s">
        <v>92</v>
      </c>
      <c r="G19" s="82" t="s">
        <v>94</v>
      </c>
      <c r="H19" s="84" t="s">
        <v>96</v>
      </c>
      <c r="I19" s="74"/>
      <c r="J19" s="74"/>
      <c r="K19" s="74"/>
      <c r="L19" s="75"/>
      <c r="M19" s="82" t="s">
        <v>101</v>
      </c>
    </row>
    <row r="20">
      <c r="A20" s="1"/>
      <c r="B20" s="86"/>
      <c r="C20" s="91" t="s">
        <v>104</v>
      </c>
      <c r="D20" s="91" t="s">
        <v>106</v>
      </c>
      <c r="E20" s="86"/>
      <c r="F20" s="86"/>
      <c r="G20" s="86"/>
      <c r="H20" s="92" t="s">
        <v>109</v>
      </c>
      <c r="I20" s="94" t="s">
        <v>111</v>
      </c>
      <c r="J20" s="96" t="s">
        <v>113</v>
      </c>
      <c r="K20" s="91" t="s">
        <v>117</v>
      </c>
      <c r="L20" s="91" t="s">
        <v>120</v>
      </c>
      <c r="M20" s="86"/>
    </row>
    <row r="21" ht="15.75" customHeight="1">
      <c r="A21" s="1"/>
      <c r="B21" s="100">
        <v>205000.0</v>
      </c>
      <c r="C21" s="101">
        <v>43850.0</v>
      </c>
      <c r="D21" s="101">
        <v>44091.0</v>
      </c>
      <c r="E21" s="101">
        <v>43864.0</v>
      </c>
      <c r="F21" s="103">
        <v>0.05</v>
      </c>
      <c r="G21" s="103">
        <v>0.05</v>
      </c>
      <c r="H21" s="104">
        <v>5900.0</v>
      </c>
      <c r="I21" s="104">
        <v>3500.0</v>
      </c>
      <c r="J21" s="104">
        <v>4000.0</v>
      </c>
      <c r="K21" s="108">
        <f>I21/H21</f>
        <v>0.593220339</v>
      </c>
      <c r="L21" s="110">
        <f>I21/J21</f>
        <v>0.875</v>
      </c>
      <c r="M21" s="112" t="s">
        <v>138</v>
      </c>
    </row>
    <row r="22" ht="15.75" customHeight="1">
      <c r="A22" s="1"/>
    </row>
    <row r="23" ht="15.75" customHeight="1">
      <c r="A23" s="1"/>
    </row>
    <row r="24" ht="15.75" customHeight="1">
      <c r="A24" s="1"/>
    </row>
    <row r="25" ht="15.75" customHeight="1">
      <c r="A25" s="1"/>
    </row>
    <row r="26" ht="15.75" customHeight="1">
      <c r="A26" s="1"/>
    </row>
    <row r="27" ht="15.75" customHeight="1">
      <c r="A27" s="1"/>
    </row>
    <row r="28" ht="15.75" customHeight="1">
      <c r="A28" s="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mergeCells count="21">
    <mergeCell ref="B7:M7"/>
    <mergeCell ref="C8:F8"/>
    <mergeCell ref="G8:I8"/>
    <mergeCell ref="J8:L8"/>
    <mergeCell ref="C9:F9"/>
    <mergeCell ref="G9:I9"/>
    <mergeCell ref="J9:L9"/>
    <mergeCell ref="B19:B20"/>
    <mergeCell ref="C19:D19"/>
    <mergeCell ref="E19:E20"/>
    <mergeCell ref="F19:F20"/>
    <mergeCell ref="G19:G20"/>
    <mergeCell ref="H19:L19"/>
    <mergeCell ref="M19:M20"/>
    <mergeCell ref="B11:M12"/>
    <mergeCell ref="B14:C14"/>
    <mergeCell ref="D14:I14"/>
    <mergeCell ref="J14:M14"/>
    <mergeCell ref="B15:C15"/>
    <mergeCell ref="D15:I15"/>
    <mergeCell ref="J15:M1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2020-02-23T21:02:25Z</dcterms:created>
  <dc:creator>Lady</dc:creator>
</cp:coreProperties>
</file>